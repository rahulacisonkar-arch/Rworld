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tee Admin\Downloads\"/>
    </mc:Choice>
  </mc:AlternateContent>
  <xr:revisionPtr revIDLastSave="0" documentId="13_ncr:1_{C87790A7-2B20-45A0-A855-461175DBECD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Sheet1!$A$2:$M$75</definedName>
  </definedNames>
  <calcPr calcId="191029"/>
</workbook>
</file>

<file path=xl/calcChain.xml><?xml version="1.0" encoding="utf-8"?>
<calcChain xmlns="http://schemas.openxmlformats.org/spreadsheetml/2006/main">
  <c r="E7" i="1" l="1"/>
  <c r="H41" i="1"/>
  <c r="H22" i="1"/>
  <c r="I22" i="1"/>
  <c r="J22" i="1"/>
  <c r="H21" i="1"/>
  <c r="I21" i="1"/>
  <c r="J21" i="1"/>
  <c r="E11" i="1"/>
  <c r="J15" i="1" l="1"/>
  <c r="I15" i="1"/>
  <c r="H15" i="1"/>
  <c r="E15" i="1"/>
  <c r="J38" i="1"/>
  <c r="I38" i="1"/>
  <c r="H38" i="1"/>
  <c r="E38" i="1"/>
  <c r="E10" i="1"/>
  <c r="K15" i="1" l="1"/>
  <c r="K38" i="1"/>
  <c r="E12" i="1"/>
  <c r="E16" i="1"/>
  <c r="E17" i="1"/>
  <c r="E18" i="1"/>
  <c r="E21" i="1"/>
  <c r="K21" i="1" s="1"/>
  <c r="E22" i="1"/>
  <c r="K22" i="1" s="1"/>
  <c r="E25" i="1"/>
  <c r="E26" i="1"/>
  <c r="E27" i="1"/>
  <c r="E30" i="1"/>
  <c r="E31" i="1"/>
  <c r="E32" i="1"/>
  <c r="E35" i="1"/>
  <c r="E36" i="1"/>
  <c r="E37" i="1"/>
  <c r="E41" i="1"/>
  <c r="E44" i="1"/>
  <c r="E45" i="1"/>
  <c r="E46" i="1"/>
  <c r="E5" i="1"/>
  <c r="E6" i="1"/>
  <c r="J36" i="1"/>
  <c r="H36" i="1"/>
  <c r="J32" i="1"/>
  <c r="I32" i="1"/>
  <c r="H32" i="1"/>
  <c r="J31" i="1"/>
  <c r="I31" i="1"/>
  <c r="H31" i="1"/>
  <c r="J30" i="1"/>
  <c r="I30" i="1"/>
  <c r="H30" i="1"/>
  <c r="J26" i="1"/>
  <c r="I26" i="1"/>
  <c r="H26" i="1"/>
  <c r="J17" i="1"/>
  <c r="I17" i="1"/>
  <c r="H17" i="1"/>
  <c r="I36" i="1" l="1"/>
  <c r="K26" i="1"/>
  <c r="K30" i="1"/>
  <c r="K36" i="1"/>
  <c r="K32" i="1"/>
  <c r="K31" i="1"/>
  <c r="K17" i="1"/>
  <c r="J7" i="1"/>
  <c r="I7" i="1"/>
  <c r="H7" i="1"/>
  <c r="K7" i="1" l="1"/>
  <c r="H46" i="1" l="1"/>
  <c r="I46" i="1"/>
  <c r="J46" i="1"/>
  <c r="K46" i="1" l="1"/>
  <c r="H6" i="1"/>
  <c r="I6" i="1"/>
  <c r="J6" i="1"/>
  <c r="H18" i="1"/>
  <c r="I18" i="1"/>
  <c r="J18" i="1"/>
  <c r="K6" i="1" l="1"/>
  <c r="K18" i="1"/>
  <c r="H5" i="1"/>
  <c r="I5" i="1"/>
  <c r="J5" i="1"/>
  <c r="K5" i="1" l="1"/>
  <c r="H12" i="1" l="1"/>
  <c r="I12" i="1"/>
  <c r="J12" i="1"/>
  <c r="K12" i="1" l="1"/>
  <c r="H27" i="1" l="1"/>
  <c r="I27" i="1"/>
  <c r="J27" i="1"/>
  <c r="K27" i="1" l="1"/>
  <c r="E22" i="2" l="1"/>
  <c r="G22" i="2" s="1"/>
  <c r="E14" i="2"/>
  <c r="G14" i="2" s="1"/>
  <c r="I14" i="2"/>
  <c r="H11" i="1" l="1"/>
  <c r="I11" i="1"/>
  <c r="J11" i="1"/>
  <c r="K11" i="1" l="1"/>
  <c r="H10" i="1" l="1"/>
  <c r="I10" i="1"/>
  <c r="J10" i="1"/>
  <c r="K10" i="1" l="1"/>
  <c r="H45" i="1" l="1"/>
  <c r="I45" i="1"/>
  <c r="J45" i="1"/>
  <c r="K45" i="1" l="1"/>
  <c r="J44" i="1" l="1"/>
  <c r="J41" i="1"/>
  <c r="J37" i="1"/>
  <c r="J35" i="1"/>
  <c r="J25" i="1"/>
  <c r="J16" i="1"/>
  <c r="I44" i="1"/>
  <c r="I41" i="1"/>
  <c r="I37" i="1"/>
  <c r="I35" i="1"/>
  <c r="I25" i="1"/>
  <c r="I16" i="1"/>
  <c r="H44" i="1"/>
  <c r="H37" i="1"/>
  <c r="H35" i="1"/>
  <c r="H25" i="1"/>
  <c r="H16" i="1"/>
  <c r="K16" i="1" l="1"/>
  <c r="K25" i="1"/>
  <c r="K37" i="1"/>
  <c r="K35" i="1"/>
  <c r="K41" i="1"/>
  <c r="K44" i="1"/>
</calcChain>
</file>

<file path=xl/sharedStrings.xml><?xml version="1.0" encoding="utf-8"?>
<sst xmlns="http://schemas.openxmlformats.org/spreadsheetml/2006/main" count="80" uniqueCount="57">
  <si>
    <t>STORE</t>
  </si>
  <si>
    <t>WILMINGTON</t>
  </si>
  <si>
    <t>METARIE</t>
  </si>
  <si>
    <t>RALEIGH</t>
  </si>
  <si>
    <t>TOTAL HOURS</t>
  </si>
  <si>
    <t>CHALENA ALBERTSON</t>
  </si>
  <si>
    <t>FAYE YOUNG</t>
  </si>
  <si>
    <t>EILEEN KLEINMEN</t>
  </si>
  <si>
    <t>MELODY PEARCE</t>
  </si>
  <si>
    <t>TYPE OF EMPLOYMENT</t>
  </si>
  <si>
    <t>HOURLY</t>
  </si>
  <si>
    <t>SALARIED</t>
  </si>
  <si>
    <t>TOTAL(AVERAGE OF ALL STORES)</t>
  </si>
  <si>
    <t>HOURS 1</t>
  </si>
  <si>
    <t>HOURS 2</t>
  </si>
  <si>
    <t>TOTAL SALES</t>
  </si>
  <si>
    <t>WEEK 1 SALE</t>
  </si>
  <si>
    <t>WEEK 2 SALE</t>
  </si>
  <si>
    <t>HOURLY SALE 1</t>
  </si>
  <si>
    <t>HOURLY SALE 2</t>
  </si>
  <si>
    <t>TOTAL HOURLY SALE</t>
  </si>
  <si>
    <t>LIDIA JEFFERY</t>
  </si>
  <si>
    <t xml:space="preserve"> </t>
  </si>
  <si>
    <t xml:space="preserve">PAMELA BATTSON </t>
  </si>
  <si>
    <t xml:space="preserve">DIANE KELLY </t>
  </si>
  <si>
    <t xml:space="preserve">ALISA </t>
  </si>
  <si>
    <t xml:space="preserve">JEAN </t>
  </si>
  <si>
    <t xml:space="preserve">TOTAL </t>
  </si>
  <si>
    <t>TERRI DUDASH</t>
  </si>
  <si>
    <t xml:space="preserve">NATAIE ALBRIGHT </t>
  </si>
  <si>
    <t xml:space="preserve">SALARY </t>
  </si>
  <si>
    <t>ORLANDO WHITE</t>
  </si>
  <si>
    <t>JUNIUS PARRISH</t>
  </si>
  <si>
    <t>PAUL JASON BAKER-NICHOLAS</t>
  </si>
  <si>
    <t>ANNA NUNNARI</t>
  </si>
  <si>
    <t>LISA GALYON</t>
  </si>
  <si>
    <t>MELISSA MORRISSETT</t>
  </si>
  <si>
    <t>GRACIE LYNN HOFFER</t>
  </si>
  <si>
    <t>PEGGY LUSK</t>
  </si>
  <si>
    <t xml:space="preserve">MARSHA KORTH </t>
  </si>
  <si>
    <t xml:space="preserve">LORI JENSEN </t>
  </si>
  <si>
    <t>SUSANNAH MAGEE</t>
  </si>
  <si>
    <t>AMY BIBB</t>
  </si>
  <si>
    <t>BETH MCCASKEY</t>
  </si>
  <si>
    <t xml:space="preserve">SALINA PLOTEACHER </t>
  </si>
  <si>
    <t xml:space="preserve">DARCY KEMPTON </t>
  </si>
  <si>
    <t>LINDA DESILVA</t>
  </si>
  <si>
    <t>JERRY</t>
  </si>
  <si>
    <t xml:space="preserve">Time card not received </t>
  </si>
  <si>
    <t>13th to 19th</t>
  </si>
  <si>
    <t xml:space="preserve">20th to 26th </t>
  </si>
  <si>
    <t>HENRICO</t>
  </si>
  <si>
    <t>VIRGINIA BEACH</t>
  </si>
  <si>
    <t>LOVELAND</t>
  </si>
  <si>
    <t>SHELBURNE</t>
  </si>
  <si>
    <t>DARIEN</t>
  </si>
  <si>
    <t xml:space="preserve">BURLINGTON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</si>
</sst>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D1E1F5"/>
      </left>
      <right style="thin">
        <color rgb="FFD1E1F5"/>
      </right>
      <top style="thin">
        <color rgb="FFD1E1F5"/>
      </top>
      <bottom style="thin">
        <color rgb="FFD1E1F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3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5" borderId="2" xfId="0" applyFont="1" applyFill="1" applyBorder="1"/>
    <xf numFmtId="2" fontId="0" fillId="0" borderId="0" xfId="0" applyNumberFormat="1"/>
    <xf numFmtId="2" fontId="0" fillId="3" borderId="0" xfId="0" applyNumberFormat="1" applyFill="1"/>
    <xf numFmtId="0" fontId="2" fillId="0" borderId="1" xfId="0" applyFont="1" applyBorder="1"/>
    <xf numFmtId="0" fontId="2" fillId="4" borderId="1" xfId="0" applyFont="1" applyFill="1" applyBorder="1"/>
    <xf numFmtId="2" fontId="2" fillId="0" borderId="0" xfId="0" applyNumberFormat="1" applyFont="1"/>
    <xf numFmtId="0" fontId="2" fillId="0" borderId="0" xfId="0" applyFont="1"/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6" fontId="0" fillId="0" borderId="0" xfId="0" applyNumberFormat="1"/>
    <xf numFmtId="2" fontId="3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3"/>
  <sheetViews>
    <sheetView tabSelected="1"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30.42578125" bestFit="1" customWidth="1"/>
    <col min="2" max="2" width="21.7109375" bestFit="1" customWidth="1"/>
    <col min="3" max="4" width="11" bestFit="1" customWidth="1"/>
    <col min="5" max="5" width="15.7109375" bestFit="1" customWidth="1"/>
    <col min="6" max="8" width="14.42578125" bestFit="1" customWidth="1"/>
    <col min="9" max="10" width="16.7109375" bestFit="1" customWidth="1"/>
    <col min="11" max="11" width="19.140625" bestFit="1" customWidth="1"/>
    <col min="13" max="13" width="7.7109375" bestFit="1" customWidth="1"/>
  </cols>
  <sheetData>
    <row r="1" spans="1:12" x14ac:dyDescent="0.25">
      <c r="F1" t="s">
        <v>49</v>
      </c>
      <c r="G1" t="s">
        <v>50</v>
      </c>
    </row>
    <row r="2" spans="1:12" x14ac:dyDescent="0.25">
      <c r="A2" s="4" t="s">
        <v>0</v>
      </c>
      <c r="B2" s="17" t="s">
        <v>9</v>
      </c>
      <c r="C2" s="4" t="s">
        <v>13</v>
      </c>
      <c r="D2" s="4" t="s">
        <v>14</v>
      </c>
      <c r="E2" s="4" t="s">
        <v>4</v>
      </c>
      <c r="F2" s="8" t="s">
        <v>16</v>
      </c>
      <c r="G2" s="7" t="s">
        <v>17</v>
      </c>
      <c r="H2" s="9" t="s">
        <v>15</v>
      </c>
      <c r="I2" s="7" t="s">
        <v>18</v>
      </c>
      <c r="J2" s="7" t="s">
        <v>19</v>
      </c>
      <c r="K2" s="9" t="s">
        <v>20</v>
      </c>
    </row>
    <row r="3" spans="1:12" x14ac:dyDescent="0.25">
      <c r="A3" s="2"/>
      <c r="B3" s="2"/>
      <c r="C3" s="6"/>
      <c r="D3" s="6"/>
      <c r="E3" s="6"/>
      <c r="F3" s="10"/>
      <c r="G3" s="10"/>
      <c r="H3" s="10"/>
      <c r="I3" s="10"/>
      <c r="J3" s="10"/>
      <c r="K3" s="10"/>
      <c r="L3" s="10"/>
    </row>
    <row r="4" spans="1:12" x14ac:dyDescent="0.25">
      <c r="A4" s="1" t="s">
        <v>51</v>
      </c>
      <c r="B4" s="1"/>
      <c r="C4" s="5"/>
      <c r="D4" s="5"/>
      <c r="E4" s="5"/>
      <c r="F4" s="11"/>
      <c r="G4" s="11"/>
      <c r="H4" s="11"/>
      <c r="I4" s="11"/>
      <c r="J4" s="11"/>
      <c r="K4" s="10"/>
      <c r="L4" s="10"/>
    </row>
    <row r="5" spans="1:12" s="15" customFormat="1" x14ac:dyDescent="0.25">
      <c r="A5" s="12" t="s">
        <v>31</v>
      </c>
      <c r="B5" s="16" t="s">
        <v>30</v>
      </c>
      <c r="C5" s="13">
        <v>40</v>
      </c>
      <c r="D5" s="13">
        <v>40</v>
      </c>
      <c r="E5" s="13">
        <f t="shared" ref="E5" si="0">SUM(C5:D5)</f>
        <v>80</v>
      </c>
      <c r="F5" s="14">
        <v>3847.3799999999997</v>
      </c>
      <c r="G5" s="14">
        <v>7229.32</v>
      </c>
      <c r="H5" s="14">
        <f>SUBTOTAL(9,F5:G5)</f>
        <v>11076.699999999999</v>
      </c>
      <c r="I5" s="14">
        <f>F5/C5</f>
        <v>96.184499999999986</v>
      </c>
      <c r="J5" s="14">
        <f>G5/D5</f>
        <v>180.733</v>
      </c>
      <c r="K5" s="14">
        <f t="shared" ref="K5" si="1">H5/E5</f>
        <v>138.45874999999998</v>
      </c>
      <c r="L5" s="14"/>
    </row>
    <row r="6" spans="1:12" s="15" customFormat="1" x14ac:dyDescent="0.25">
      <c r="A6" s="12" t="s">
        <v>32</v>
      </c>
      <c r="B6" s="16" t="s">
        <v>10</v>
      </c>
      <c r="C6" s="13">
        <v>18.850000000000001</v>
      </c>
      <c r="D6" s="13">
        <v>22.1</v>
      </c>
      <c r="E6" s="13">
        <f t="shared" ref="E6" si="2">SUM(C6:D6)</f>
        <v>40.950000000000003</v>
      </c>
      <c r="F6" s="14">
        <v>1105.98</v>
      </c>
      <c r="G6" s="14">
        <v>2421.69</v>
      </c>
      <c r="H6" s="14">
        <f t="shared" ref="H6" si="3">SUBTOTAL(9,F6:G6)</f>
        <v>3527.67</v>
      </c>
      <c r="I6" s="14">
        <f t="shared" ref="I6" si="4">F6/C6</f>
        <v>58.672679045092835</v>
      </c>
      <c r="J6" s="14">
        <f t="shared" ref="J6" si="5">G6/D6</f>
        <v>109.5787330316742</v>
      </c>
      <c r="K6" s="14">
        <f t="shared" ref="K6" si="6">H6/E6</f>
        <v>86.145787545787542</v>
      </c>
      <c r="L6" s="14"/>
    </row>
    <row r="7" spans="1:12" s="15" customFormat="1" x14ac:dyDescent="0.25">
      <c r="A7" s="12" t="s">
        <v>35</v>
      </c>
      <c r="B7" s="16" t="s">
        <v>10</v>
      </c>
      <c r="C7" s="13">
        <v>12.38</v>
      </c>
      <c r="D7" s="13">
        <v>2.38</v>
      </c>
      <c r="E7" s="13">
        <f t="shared" ref="E7" si="7">SUM(C7:D7)</f>
        <v>14.760000000000002</v>
      </c>
      <c r="F7" s="14">
        <v>-49.92</v>
      </c>
      <c r="G7" s="14">
        <v>3168.8</v>
      </c>
      <c r="H7" s="14">
        <f>SUBTOTAL(9,F7:G7)</f>
        <v>3118.88</v>
      </c>
      <c r="I7" s="14">
        <f>F7/C7</f>
        <v>-4.0323101777059769</v>
      </c>
      <c r="J7" s="14">
        <f>G7/D7</f>
        <v>1331.4285714285716</v>
      </c>
      <c r="K7" s="14">
        <f t="shared" ref="K7" si="8">H7/E7</f>
        <v>211.30623306233062</v>
      </c>
      <c r="L7" s="14"/>
    </row>
    <row r="8" spans="1:12" x14ac:dyDescent="0.25">
      <c r="A8" s="2"/>
      <c r="B8" s="3"/>
      <c r="C8" s="6"/>
      <c r="D8" s="6"/>
      <c r="E8" s="6"/>
      <c r="F8" s="10"/>
      <c r="G8" s="10"/>
      <c r="H8" s="10"/>
      <c r="I8" s="10"/>
      <c r="J8" s="10"/>
      <c r="K8" s="10"/>
      <c r="L8" s="10"/>
    </row>
    <row r="9" spans="1:12" x14ac:dyDescent="0.25">
      <c r="A9" s="1" t="s">
        <v>1</v>
      </c>
      <c r="B9" s="1"/>
      <c r="C9" s="5"/>
      <c r="D9" s="5"/>
      <c r="E9" s="5"/>
      <c r="F9" s="11"/>
      <c r="G9" s="11"/>
      <c r="H9" s="11"/>
      <c r="I9" s="11"/>
      <c r="J9" s="11"/>
      <c r="K9" s="10"/>
      <c r="L9" s="10"/>
    </row>
    <row r="10" spans="1:12" s="15" customFormat="1" x14ac:dyDescent="0.25">
      <c r="A10" s="12" t="s">
        <v>23</v>
      </c>
      <c r="B10" s="16" t="s">
        <v>10</v>
      </c>
      <c r="C10" s="13">
        <v>31.08</v>
      </c>
      <c r="D10" s="13">
        <v>25</v>
      </c>
      <c r="E10" s="13">
        <f t="shared" ref="E10" si="9">SUM(C10:D10)</f>
        <v>56.08</v>
      </c>
      <c r="F10" s="14">
        <v>2174.4</v>
      </c>
      <c r="G10" s="14">
        <v>621.75</v>
      </c>
      <c r="H10" s="14">
        <f>SUBTOTAL(9,F10:G10)</f>
        <v>2796.15</v>
      </c>
      <c r="I10" s="14">
        <f t="shared" ref="I10:K10" si="10">F10/C10</f>
        <v>69.961389961389969</v>
      </c>
      <c r="J10" s="14">
        <f t="shared" si="10"/>
        <v>24.87</v>
      </c>
      <c r="K10" s="14">
        <f t="shared" si="10"/>
        <v>49.860021398002857</v>
      </c>
      <c r="L10" s="14"/>
    </row>
    <row r="11" spans="1:12" s="15" customFormat="1" x14ac:dyDescent="0.25">
      <c r="A11" s="12" t="s">
        <v>24</v>
      </c>
      <c r="B11" s="16" t="s">
        <v>10</v>
      </c>
      <c r="C11" s="13">
        <v>18.829999999999998</v>
      </c>
      <c r="D11" s="13">
        <v>24</v>
      </c>
      <c r="E11" s="13">
        <f>SUM(C11:D11)</f>
        <v>42.83</v>
      </c>
      <c r="F11" s="14">
        <v>662.79000000000008</v>
      </c>
      <c r="G11" s="14">
        <v>1186.3399999999999</v>
      </c>
      <c r="H11" s="14">
        <f>SUBTOTAL(9,F11:G11)</f>
        <v>1849.13</v>
      </c>
      <c r="I11" s="14">
        <f t="shared" ref="I11" si="11">F11/C11</f>
        <v>35.19861922464154</v>
      </c>
      <c r="J11" s="14">
        <f t="shared" ref="J11" si="12">G11/D11</f>
        <v>49.430833333333332</v>
      </c>
      <c r="K11" s="14">
        <f t="shared" ref="K11" si="13">H11/E11</f>
        <v>43.173710016343691</v>
      </c>
      <c r="L11" s="14"/>
    </row>
    <row r="12" spans="1:12" s="15" customFormat="1" x14ac:dyDescent="0.25">
      <c r="A12" s="12" t="s">
        <v>29</v>
      </c>
      <c r="B12" s="16" t="s">
        <v>10</v>
      </c>
      <c r="C12" s="13">
        <v>22</v>
      </c>
      <c r="D12" s="13">
        <v>22</v>
      </c>
      <c r="E12" s="13">
        <f>SUM(C12:D12)</f>
        <v>44</v>
      </c>
      <c r="F12" s="14">
        <v>961.06000000000006</v>
      </c>
      <c r="G12" s="14">
        <v>1615.2700000000002</v>
      </c>
      <c r="H12" s="14">
        <f>SUBTOTAL(9,F12:G12)</f>
        <v>2576.3300000000004</v>
      </c>
      <c r="I12" s="14">
        <f t="shared" ref="I12" si="14">F12/C12</f>
        <v>43.684545454545457</v>
      </c>
      <c r="J12" s="14">
        <f t="shared" ref="J12" si="15">G12/D12</f>
        <v>73.421363636363651</v>
      </c>
      <c r="K12" s="14">
        <f t="shared" ref="K12" si="16">H12/E12</f>
        <v>58.552954545454554</v>
      </c>
      <c r="L12" s="14"/>
    </row>
    <row r="13" spans="1:12" x14ac:dyDescent="0.25">
      <c r="A13" s="2"/>
      <c r="B13" s="3"/>
      <c r="C13" s="6"/>
      <c r="D13" s="6"/>
      <c r="E13" s="6"/>
      <c r="F13" s="10"/>
      <c r="G13" s="10"/>
      <c r="H13" s="10"/>
      <c r="I13" s="10"/>
      <c r="J13" s="10"/>
      <c r="K13" s="10"/>
      <c r="L13" s="10"/>
    </row>
    <row r="14" spans="1:12" x14ac:dyDescent="0.25">
      <c r="A14" s="1" t="s">
        <v>52</v>
      </c>
      <c r="B14" s="1"/>
      <c r="C14" s="5"/>
      <c r="D14" s="5"/>
      <c r="E14" s="5"/>
      <c r="F14" s="11"/>
      <c r="G14" s="11"/>
      <c r="H14" s="11"/>
      <c r="I14" s="11"/>
      <c r="J14" s="11"/>
      <c r="K14" s="10"/>
      <c r="L14" s="10"/>
    </row>
    <row r="15" spans="1:12" s="15" customFormat="1" x14ac:dyDescent="0.25">
      <c r="A15" s="12" t="s">
        <v>47</v>
      </c>
      <c r="B15" s="12" t="s">
        <v>10</v>
      </c>
      <c r="C15" s="13">
        <v>40</v>
      </c>
      <c r="D15" s="13">
        <v>40</v>
      </c>
      <c r="E15" s="13">
        <f t="shared" ref="E15" si="17">SUM(C15:D15)</f>
        <v>80</v>
      </c>
      <c r="F15" s="14">
        <v>5869.8799999999992</v>
      </c>
      <c r="G15" s="14">
        <v>6981.98</v>
      </c>
      <c r="H15" s="14">
        <f t="shared" ref="H15" si="18">SUBTOTAL(9,F15:G15)</f>
        <v>12851.859999999999</v>
      </c>
      <c r="I15" s="14">
        <f t="shared" ref="I15" si="19">F15/C15</f>
        <v>146.74699999999999</v>
      </c>
      <c r="J15" s="14">
        <f t="shared" ref="J15" si="20">G15/D15</f>
        <v>174.54949999999999</v>
      </c>
      <c r="K15" s="14">
        <f t="shared" ref="K15" si="21">H15/E15</f>
        <v>160.64824999999999</v>
      </c>
      <c r="L15" s="14"/>
    </row>
    <row r="16" spans="1:12" s="15" customFormat="1" x14ac:dyDescent="0.25">
      <c r="A16" s="12" t="s">
        <v>36</v>
      </c>
      <c r="B16" s="12" t="s">
        <v>10</v>
      </c>
      <c r="C16" s="13">
        <v>16.5</v>
      </c>
      <c r="D16" s="13">
        <v>0</v>
      </c>
      <c r="E16" s="13">
        <f t="shared" ref="E16" si="22">SUM(C16:D16)</f>
        <v>16.5</v>
      </c>
      <c r="F16" s="14">
        <v>1826.36</v>
      </c>
      <c r="G16" s="14">
        <v>762.45</v>
      </c>
      <c r="H16" s="14">
        <f t="shared" ref="H16" si="23">SUBTOTAL(9,F16:G16)</f>
        <v>2588.81</v>
      </c>
      <c r="I16" s="14">
        <f t="shared" ref="I16:K16" si="24">F16/C16</f>
        <v>110.68848484848485</v>
      </c>
      <c r="J16" s="14" t="e">
        <f t="shared" si="24"/>
        <v>#DIV/0!</v>
      </c>
      <c r="K16" s="14">
        <f t="shared" si="24"/>
        <v>156.89757575757577</v>
      </c>
      <c r="L16" s="14"/>
    </row>
    <row r="17" spans="1:13" s="15" customFormat="1" x14ac:dyDescent="0.25">
      <c r="A17" s="12" t="s">
        <v>38</v>
      </c>
      <c r="B17" s="12" t="s">
        <v>10</v>
      </c>
      <c r="C17" s="13">
        <v>0</v>
      </c>
      <c r="D17" s="13">
        <v>27.42</v>
      </c>
      <c r="E17" s="13">
        <f t="shared" ref="E17" si="25">SUM(C17:D17)</f>
        <v>27.42</v>
      </c>
      <c r="F17" s="14">
        <v>623.30999999999995</v>
      </c>
      <c r="G17" s="14">
        <v>7678.13</v>
      </c>
      <c r="H17" s="14">
        <f t="shared" ref="H17" si="26">SUBTOTAL(9,F17:G17)</f>
        <v>8301.44</v>
      </c>
      <c r="I17" s="14" t="e">
        <f t="shared" ref="I17" si="27">F17/C17</f>
        <v>#DIV/0!</v>
      </c>
      <c r="J17" s="14">
        <f t="shared" ref="J17" si="28">G17/D17</f>
        <v>280.01932895696569</v>
      </c>
      <c r="K17" s="14">
        <f t="shared" ref="K17" si="29">H17/E17</f>
        <v>302.75127644055436</v>
      </c>
      <c r="L17" s="14"/>
    </row>
    <row r="18" spans="1:13" s="15" customFormat="1" x14ac:dyDescent="0.25">
      <c r="A18" s="12" t="s">
        <v>37</v>
      </c>
      <c r="B18" s="12" t="s">
        <v>10</v>
      </c>
      <c r="C18" s="13">
        <v>8</v>
      </c>
      <c r="D18" s="13">
        <v>7.5</v>
      </c>
      <c r="E18" s="13">
        <f t="shared" ref="E18" si="30">SUM(C18:D18)</f>
        <v>15.5</v>
      </c>
      <c r="F18" s="14">
        <v>959.92000000000007</v>
      </c>
      <c r="G18" s="14">
        <v>0</v>
      </c>
      <c r="H18" s="14">
        <f t="shared" ref="H18" si="31">SUBTOTAL(9,F18:G18)</f>
        <v>959.92000000000007</v>
      </c>
      <c r="I18" s="14">
        <f t="shared" ref="I18" si="32">F18/C18</f>
        <v>119.99000000000001</v>
      </c>
      <c r="J18" s="14">
        <f t="shared" ref="J18" si="33">G18/D18</f>
        <v>0</v>
      </c>
      <c r="K18" s="14">
        <f t="shared" ref="K18" si="34">H18/E18</f>
        <v>61.930322580645168</v>
      </c>
      <c r="L18" s="14"/>
    </row>
    <row r="19" spans="1:13" x14ac:dyDescent="0.25">
      <c r="A19" s="2" t="s">
        <v>22</v>
      </c>
      <c r="B19" s="3"/>
      <c r="C19" s="6"/>
      <c r="D19" s="6"/>
      <c r="E19" s="6"/>
      <c r="F19" s="10"/>
      <c r="G19" s="10"/>
      <c r="H19" s="10"/>
      <c r="I19" s="10"/>
      <c r="J19" s="10"/>
      <c r="K19" s="10"/>
      <c r="L19" s="10"/>
    </row>
    <row r="20" spans="1:13" x14ac:dyDescent="0.25">
      <c r="A20" s="1" t="s">
        <v>2</v>
      </c>
      <c r="B20" s="1"/>
      <c r="C20" s="5"/>
      <c r="D20" s="5"/>
      <c r="E20" s="5"/>
      <c r="F20" s="11"/>
      <c r="G20" s="11"/>
      <c r="H20" s="11"/>
      <c r="I20" s="11"/>
      <c r="J20" s="11"/>
      <c r="K20" s="10"/>
      <c r="L20" s="10"/>
    </row>
    <row r="21" spans="1:13" s="15" customFormat="1" x14ac:dyDescent="0.25">
      <c r="A21" s="12" t="s">
        <v>5</v>
      </c>
      <c r="B21" s="12" t="s">
        <v>10</v>
      </c>
      <c r="C21" s="13">
        <v>22</v>
      </c>
      <c r="D21" s="13">
        <v>22.5</v>
      </c>
      <c r="E21" s="13">
        <f>SUM(C21:D21)</f>
        <v>44.5</v>
      </c>
      <c r="F21" s="14">
        <v>1073.83</v>
      </c>
      <c r="G21" s="14">
        <v>6213.1699999999992</v>
      </c>
      <c r="H21" s="14">
        <f>SUBTOTAL(9,F21:G21)</f>
        <v>7286.9999999999991</v>
      </c>
      <c r="I21" s="14">
        <f t="shared" ref="I21:K22" si="35">F21/C21</f>
        <v>48.81045454545454</v>
      </c>
      <c r="J21" s="14">
        <f t="shared" si="35"/>
        <v>276.14088888888887</v>
      </c>
      <c r="K21" s="14">
        <f t="shared" si="35"/>
        <v>163.75280898876403</v>
      </c>
      <c r="L21" s="14"/>
    </row>
    <row r="22" spans="1:13" s="15" customFormat="1" x14ac:dyDescent="0.25">
      <c r="A22" s="12" t="s">
        <v>6</v>
      </c>
      <c r="B22" s="16">
        <v>1099</v>
      </c>
      <c r="C22" s="13">
        <v>14</v>
      </c>
      <c r="D22" s="13">
        <v>14</v>
      </c>
      <c r="E22" s="13">
        <f>SUM(C22:D22)</f>
        <v>28</v>
      </c>
      <c r="F22" s="14">
        <v>1784.13</v>
      </c>
      <c r="G22" s="14">
        <v>592.34</v>
      </c>
      <c r="H22" s="14">
        <f>SUBTOTAL(9,F22:G22)</f>
        <v>2376.4700000000003</v>
      </c>
      <c r="I22" s="14">
        <f t="shared" si="35"/>
        <v>127.43785714285715</v>
      </c>
      <c r="J22" s="14">
        <f t="shared" si="35"/>
        <v>42.31</v>
      </c>
      <c r="K22" s="14">
        <f t="shared" si="35"/>
        <v>84.873928571428578</v>
      </c>
      <c r="L22" s="14"/>
    </row>
    <row r="23" spans="1:13" x14ac:dyDescent="0.25">
      <c r="A23" s="2"/>
      <c r="B23" s="3"/>
      <c r="C23" s="6"/>
      <c r="D23" s="6"/>
      <c r="E23" s="6"/>
      <c r="F23" s="10"/>
      <c r="G23" s="10"/>
      <c r="H23" s="10"/>
      <c r="I23" s="10"/>
      <c r="J23" s="10"/>
      <c r="K23" s="10"/>
      <c r="L23" s="10"/>
    </row>
    <row r="24" spans="1:13" x14ac:dyDescent="0.25">
      <c r="A24" s="1" t="s">
        <v>53</v>
      </c>
      <c r="B24" s="1"/>
      <c r="C24" s="5"/>
      <c r="D24" s="5"/>
      <c r="E24" s="5"/>
      <c r="F24" s="11"/>
      <c r="G24" s="11"/>
      <c r="H24" s="11"/>
      <c r="I24" s="11"/>
      <c r="J24" s="11"/>
      <c r="K24" s="10"/>
      <c r="L24" s="10"/>
    </row>
    <row r="25" spans="1:13" s="15" customFormat="1" x14ac:dyDescent="0.25">
      <c r="A25" s="12" t="s">
        <v>7</v>
      </c>
      <c r="B25" s="12" t="s">
        <v>10</v>
      </c>
      <c r="C25" s="13">
        <v>23</v>
      </c>
      <c r="D25" s="13">
        <v>21.75</v>
      </c>
      <c r="E25" s="13">
        <f>SUM(C25:D25)</f>
        <v>44.75</v>
      </c>
      <c r="F25" s="14">
        <v>382.21</v>
      </c>
      <c r="G25" s="14">
        <v>588.99</v>
      </c>
      <c r="H25" s="14">
        <f>SUBTOTAL(9,F25:G25)</f>
        <v>971.2</v>
      </c>
      <c r="I25" s="14">
        <f t="shared" ref="I25:K25" si="36">F25/C25</f>
        <v>16.617826086956519</v>
      </c>
      <c r="J25" s="14">
        <f t="shared" si="36"/>
        <v>27.080000000000002</v>
      </c>
      <c r="K25" s="14">
        <f t="shared" si="36"/>
        <v>21.702793296089386</v>
      </c>
      <c r="L25" s="14"/>
    </row>
    <row r="26" spans="1:13" s="15" customFormat="1" x14ac:dyDescent="0.25">
      <c r="A26" s="12" t="s">
        <v>39</v>
      </c>
      <c r="B26" s="12" t="s">
        <v>10</v>
      </c>
      <c r="C26" s="13">
        <v>5</v>
      </c>
      <c r="D26" s="13">
        <v>5</v>
      </c>
      <c r="E26" s="13">
        <f>SUM(C26:D26)</f>
        <v>10</v>
      </c>
      <c r="F26" s="14">
        <v>0</v>
      </c>
      <c r="G26" s="14">
        <v>0</v>
      </c>
      <c r="H26" s="14">
        <f>SUBTOTAL(9,F26:G26)</f>
        <v>0</v>
      </c>
      <c r="I26" s="14">
        <f t="shared" ref="I26" si="37">F26/C26</f>
        <v>0</v>
      </c>
      <c r="J26" s="14">
        <f t="shared" ref="J26" si="38">G26/D26</f>
        <v>0</v>
      </c>
      <c r="K26" s="14">
        <f t="shared" ref="K26" si="39">H26/E26</f>
        <v>0</v>
      </c>
      <c r="L26" s="14"/>
    </row>
    <row r="27" spans="1:13" s="15" customFormat="1" x14ac:dyDescent="0.25">
      <c r="A27" s="12" t="s">
        <v>28</v>
      </c>
      <c r="B27" s="12" t="s">
        <v>11</v>
      </c>
      <c r="C27" s="13">
        <v>40</v>
      </c>
      <c r="D27" s="13">
        <v>40</v>
      </c>
      <c r="E27" s="13">
        <f>SUM(C27:D27)</f>
        <v>80</v>
      </c>
      <c r="F27" s="14">
        <v>1589.74</v>
      </c>
      <c r="G27" s="14">
        <v>967.12</v>
      </c>
      <c r="H27" s="14">
        <f>SUBTOTAL(9,F27:G27)</f>
        <v>2556.86</v>
      </c>
      <c r="I27" s="14">
        <f t="shared" ref="I27" si="40">F27/C27</f>
        <v>39.743499999999997</v>
      </c>
      <c r="J27" s="14">
        <f t="shared" ref="J27" si="41">G27/D27</f>
        <v>24.178000000000001</v>
      </c>
      <c r="K27" s="14">
        <f t="shared" ref="K27" si="42">H27/E27</f>
        <v>31.960750000000001</v>
      </c>
      <c r="L27" s="14"/>
    </row>
    <row r="28" spans="1:13" x14ac:dyDescent="0.25">
      <c r="A28" s="2"/>
      <c r="B28" s="2"/>
      <c r="C28" s="6"/>
      <c r="D28" s="6"/>
      <c r="E28" s="6"/>
      <c r="F28" s="10"/>
      <c r="G28" s="10"/>
      <c r="H28" s="10"/>
      <c r="I28" s="10"/>
      <c r="J28" s="10"/>
      <c r="K28" s="10"/>
      <c r="L28" s="10"/>
    </row>
    <row r="29" spans="1:13" x14ac:dyDescent="0.25">
      <c r="A29" s="1" t="s">
        <v>54</v>
      </c>
      <c r="B29" s="1"/>
      <c r="C29" s="5"/>
      <c r="D29" s="5"/>
      <c r="E29" s="5"/>
      <c r="F29" s="11"/>
      <c r="G29" s="11"/>
      <c r="H29" s="11"/>
      <c r="I29" s="11"/>
      <c r="J29" s="11"/>
      <c r="K29" s="10"/>
      <c r="L29" s="10"/>
    </row>
    <row r="30" spans="1:13" s="15" customFormat="1" x14ac:dyDescent="0.25">
      <c r="A30" s="12" t="s">
        <v>40</v>
      </c>
      <c r="B30" s="12" t="s">
        <v>10</v>
      </c>
      <c r="C30" s="13">
        <v>26.5</v>
      </c>
      <c r="D30" s="13">
        <v>19.5</v>
      </c>
      <c r="E30" s="13">
        <f>SUM(C30:D30)</f>
        <v>46</v>
      </c>
      <c r="F30" s="14">
        <v>743.37</v>
      </c>
      <c r="G30" s="14">
        <v>1036.45</v>
      </c>
      <c r="H30" s="14">
        <f>SUBTOTAL(9,F30:G30)</f>
        <v>1779.8200000000002</v>
      </c>
      <c r="I30" s="14">
        <f t="shared" ref="I30" si="43">F30/C30</f>
        <v>28.051698113207546</v>
      </c>
      <c r="J30" s="14">
        <f t="shared" ref="J30" si="44">G30/D30</f>
        <v>53.151282051282053</v>
      </c>
      <c r="K30" s="14">
        <f t="shared" ref="K30" si="45">H30/E30</f>
        <v>38.691739130434783</v>
      </c>
      <c r="L30" s="14"/>
    </row>
    <row r="31" spans="1:13" s="15" customFormat="1" x14ac:dyDescent="0.25">
      <c r="A31" s="12" t="s">
        <v>45</v>
      </c>
      <c r="B31" s="12" t="s">
        <v>10</v>
      </c>
      <c r="C31" s="13">
        <v>31</v>
      </c>
      <c r="D31" s="13">
        <v>22.25</v>
      </c>
      <c r="E31" s="13">
        <f t="shared" ref="E31:E32" si="46">SUM(C31:D31)</f>
        <v>53.25</v>
      </c>
      <c r="F31" s="14">
        <v>3185.3899999999994</v>
      </c>
      <c r="G31" s="14">
        <v>6588.45</v>
      </c>
      <c r="H31" s="14">
        <f t="shared" ref="H31:H32" si="47">SUBTOTAL(9,F31:G31)</f>
        <v>9773.84</v>
      </c>
      <c r="I31" s="14">
        <f t="shared" ref="I31:I32" si="48">F31/C31</f>
        <v>102.75451612903224</v>
      </c>
      <c r="J31" s="14">
        <f t="shared" ref="J31:J32" si="49">G31/D31</f>
        <v>296.11011235955056</v>
      </c>
      <c r="K31" s="14">
        <f t="shared" ref="K31:K32" si="50">H31/E31</f>
        <v>183.54629107981222</v>
      </c>
      <c r="L31" s="14"/>
    </row>
    <row r="32" spans="1:13" s="15" customFormat="1" x14ac:dyDescent="0.25">
      <c r="A32" s="12" t="s">
        <v>41</v>
      </c>
      <c r="B32" s="12" t="s">
        <v>10</v>
      </c>
      <c r="C32" s="13">
        <v>0</v>
      </c>
      <c r="D32" s="13">
        <v>0</v>
      </c>
      <c r="E32" s="13">
        <f t="shared" si="46"/>
        <v>0</v>
      </c>
      <c r="F32" s="14">
        <v>0</v>
      </c>
      <c r="G32" s="14">
        <v>0</v>
      </c>
      <c r="H32" s="14">
        <f t="shared" si="47"/>
        <v>0</v>
      </c>
      <c r="I32" s="14" t="e">
        <f t="shared" si="48"/>
        <v>#DIV/0!</v>
      </c>
      <c r="J32" s="14" t="e">
        <f t="shared" si="49"/>
        <v>#DIV/0!</v>
      </c>
      <c r="K32" s="14" t="e">
        <f t="shared" si="50"/>
        <v>#DIV/0!</v>
      </c>
      <c r="L32" s="14"/>
      <c r="M32" s="15" t="s">
        <v>48</v>
      </c>
    </row>
    <row r="33" spans="1:13" x14ac:dyDescent="0.25">
      <c r="A33" s="2"/>
      <c r="B33" s="2"/>
      <c r="C33" s="6"/>
      <c r="D33" s="6"/>
      <c r="E33" s="6"/>
      <c r="F33" s="10"/>
      <c r="G33" s="10"/>
      <c r="H33" s="10"/>
      <c r="I33" s="10"/>
      <c r="J33" s="10"/>
      <c r="K33" s="10"/>
      <c r="L33" s="10"/>
      <c r="M33" s="15"/>
    </row>
    <row r="34" spans="1:13" x14ac:dyDescent="0.25">
      <c r="A34" s="1" t="s">
        <v>55</v>
      </c>
      <c r="B34" s="1"/>
      <c r="C34" s="5"/>
      <c r="D34" s="5"/>
      <c r="E34" s="5"/>
      <c r="F34" s="11"/>
      <c r="G34" s="11"/>
      <c r="H34" s="11"/>
      <c r="I34" s="11"/>
      <c r="J34" s="11"/>
      <c r="K34" s="10"/>
      <c r="L34" s="10"/>
    </row>
    <row r="35" spans="1:13" s="15" customFormat="1" x14ac:dyDescent="0.25">
      <c r="A35" s="12" t="s">
        <v>42</v>
      </c>
      <c r="B35" s="12" t="s">
        <v>10</v>
      </c>
      <c r="C35" s="13">
        <v>16</v>
      </c>
      <c r="D35" s="13">
        <v>16</v>
      </c>
      <c r="E35" s="13">
        <f>SUM(C35:D35)</f>
        <v>32</v>
      </c>
      <c r="F35" s="14">
        <v>1893.75</v>
      </c>
      <c r="G35" s="14">
        <v>8697.07</v>
      </c>
      <c r="H35" s="14">
        <f>SUBTOTAL(9,F35:G35)</f>
        <v>10590.82</v>
      </c>
      <c r="I35" s="14">
        <f t="shared" ref="I35:K37" si="51">F35/C35</f>
        <v>118.359375</v>
      </c>
      <c r="J35" s="14">
        <f t="shared" si="51"/>
        <v>543.56687499999998</v>
      </c>
      <c r="K35" s="14">
        <f t="shared" si="51"/>
        <v>330.96312499999999</v>
      </c>
      <c r="L35" s="14"/>
    </row>
    <row r="36" spans="1:13" s="15" customFormat="1" x14ac:dyDescent="0.25">
      <c r="A36" s="12" t="s">
        <v>43</v>
      </c>
      <c r="B36" s="12" t="s">
        <v>10</v>
      </c>
      <c r="C36" s="13">
        <v>40</v>
      </c>
      <c r="D36" s="13">
        <v>40</v>
      </c>
      <c r="E36" s="13">
        <f t="shared" ref="E36" si="52">SUM(C36:D36)</f>
        <v>80</v>
      </c>
      <c r="F36" s="14">
        <v>9391.5499999999993</v>
      </c>
      <c r="G36" s="14">
        <v>5589.58</v>
      </c>
      <c r="H36" s="14">
        <f t="shared" ref="H36" si="53">SUBTOTAL(9,F36:G36)</f>
        <v>14981.13</v>
      </c>
      <c r="I36" s="14">
        <f t="shared" ref="I36" si="54">F36/C36</f>
        <v>234.78874999999999</v>
      </c>
      <c r="J36" s="14">
        <f t="shared" ref="J36" si="55">G36/D36</f>
        <v>139.73949999999999</v>
      </c>
      <c r="K36" s="14">
        <f t="shared" ref="K36" si="56">H36/E36</f>
        <v>187.26412499999998</v>
      </c>
      <c r="L36" s="14"/>
    </row>
    <row r="37" spans="1:13" s="15" customFormat="1" x14ac:dyDescent="0.25">
      <c r="A37" s="12" t="s">
        <v>44</v>
      </c>
      <c r="B37" s="12" t="s">
        <v>10</v>
      </c>
      <c r="C37" s="13">
        <v>6</v>
      </c>
      <c r="D37" s="13">
        <v>5</v>
      </c>
      <c r="E37" s="13">
        <f>SUM(C37:D37)</f>
        <v>11</v>
      </c>
      <c r="F37" s="14">
        <v>262.08999999999997</v>
      </c>
      <c r="G37" s="14">
        <v>0</v>
      </c>
      <c r="H37" s="14">
        <f>SUBTOTAL(9,F37:G37)</f>
        <v>262.08999999999997</v>
      </c>
      <c r="I37" s="14">
        <f t="shared" si="51"/>
        <v>43.681666666666665</v>
      </c>
      <c r="J37" s="14">
        <f t="shared" si="51"/>
        <v>0</v>
      </c>
      <c r="K37" s="14">
        <f t="shared" si="51"/>
        <v>23.826363636363634</v>
      </c>
      <c r="L37" s="14"/>
    </row>
    <row r="38" spans="1:13" s="15" customFormat="1" x14ac:dyDescent="0.25">
      <c r="A38" s="12" t="s">
        <v>46</v>
      </c>
      <c r="B38" s="12" t="s">
        <v>10</v>
      </c>
      <c r="C38" s="13">
        <v>24</v>
      </c>
      <c r="D38" s="13">
        <v>24</v>
      </c>
      <c r="E38" s="13">
        <f>SUM(C38:D38)</f>
        <v>48</v>
      </c>
      <c r="F38" s="14">
        <v>9866.7100000000009</v>
      </c>
      <c r="G38" s="14">
        <v>1594.1599999999999</v>
      </c>
      <c r="H38" s="14">
        <f>SUBTOTAL(9,F38:G38)</f>
        <v>11460.87</v>
      </c>
      <c r="I38" s="14">
        <f t="shared" ref="I38" si="57">F38/C38</f>
        <v>411.11291666666671</v>
      </c>
      <c r="J38" s="14">
        <f t="shared" ref="J38" si="58">G38/D38</f>
        <v>66.423333333333332</v>
      </c>
      <c r="K38" s="14">
        <f t="shared" ref="K38" si="59">H38/E38</f>
        <v>238.76812500000003</v>
      </c>
      <c r="L38" s="14"/>
    </row>
    <row r="39" spans="1:13" x14ac:dyDescent="0.25">
      <c r="A39" s="2"/>
      <c r="B39" s="3"/>
      <c r="C39" s="6"/>
      <c r="D39" s="6"/>
      <c r="E39" s="6"/>
      <c r="F39" s="10"/>
      <c r="G39" s="10"/>
      <c r="H39" s="10"/>
      <c r="I39" s="10"/>
      <c r="J39" s="10"/>
      <c r="K39" s="10"/>
      <c r="L39" s="10"/>
    </row>
    <row r="40" spans="1:13" x14ac:dyDescent="0.25">
      <c r="A40" s="1" t="s">
        <v>56</v>
      </c>
      <c r="B40" s="1"/>
      <c r="C40" s="5"/>
      <c r="D40" s="5"/>
      <c r="E40" s="5"/>
      <c r="F40" s="11"/>
      <c r="G40" s="11"/>
      <c r="H40" s="11"/>
      <c r="I40" s="11"/>
      <c r="J40" s="11"/>
      <c r="K40" s="10"/>
      <c r="L40" s="10"/>
    </row>
    <row r="41" spans="1:13" s="15" customFormat="1" x14ac:dyDescent="0.25">
      <c r="A41" s="12" t="s">
        <v>21</v>
      </c>
      <c r="B41" s="12" t="s">
        <v>10</v>
      </c>
      <c r="C41" s="13">
        <v>15.5</v>
      </c>
      <c r="D41" s="13">
        <v>17</v>
      </c>
      <c r="E41" s="13">
        <f t="shared" ref="E41" si="60">SUM(C41:D41)</f>
        <v>32.5</v>
      </c>
      <c r="F41" s="14"/>
      <c r="G41" s="14"/>
      <c r="H41" s="14">
        <f t="shared" ref="H41" si="61">SUBTOTAL(9,F41:G41)</f>
        <v>0</v>
      </c>
      <c r="I41" s="14">
        <f t="shared" ref="I41:K41" si="62">F41/C41</f>
        <v>0</v>
      </c>
      <c r="J41" s="14">
        <f t="shared" si="62"/>
        <v>0</v>
      </c>
      <c r="K41" s="14">
        <f t="shared" si="62"/>
        <v>0</v>
      </c>
      <c r="L41" s="14"/>
    </row>
    <row r="42" spans="1:13" s="15" customFormat="1" x14ac:dyDescent="0.25">
      <c r="A42" s="12"/>
      <c r="B42" s="12"/>
      <c r="C42" s="13"/>
      <c r="D42" s="13"/>
      <c r="E42" s="13"/>
      <c r="F42" s="14"/>
      <c r="G42" s="14"/>
      <c r="H42" s="14"/>
      <c r="I42" s="14"/>
      <c r="J42" s="14"/>
      <c r="K42" s="14"/>
      <c r="L42" s="14"/>
    </row>
    <row r="43" spans="1:13" x14ac:dyDescent="0.25">
      <c r="A43" s="1" t="s">
        <v>3</v>
      </c>
      <c r="B43" s="1"/>
      <c r="C43" s="5"/>
      <c r="D43" s="5"/>
      <c r="E43" s="5"/>
      <c r="F43" s="11"/>
      <c r="G43" s="11"/>
      <c r="H43" s="11"/>
      <c r="I43" s="11"/>
      <c r="J43" s="11"/>
      <c r="K43" s="10"/>
      <c r="L43" s="10"/>
    </row>
    <row r="44" spans="1:13" s="15" customFormat="1" x14ac:dyDescent="0.25">
      <c r="A44" s="12" t="s">
        <v>8</v>
      </c>
      <c r="B44" s="12" t="s">
        <v>10</v>
      </c>
      <c r="C44" s="13">
        <v>39</v>
      </c>
      <c r="D44" s="13">
        <v>40.5</v>
      </c>
      <c r="E44" s="13">
        <f t="shared" ref="E44:E45" si="63">SUM(C44:D44)</f>
        <v>79.5</v>
      </c>
      <c r="F44" s="14">
        <v>6273.81</v>
      </c>
      <c r="G44" s="14">
        <v>9186.11</v>
      </c>
      <c r="H44" s="14">
        <f t="shared" ref="H44:H45" si="64">SUBTOTAL(9,F44:G44)</f>
        <v>15459.920000000002</v>
      </c>
      <c r="I44" s="14">
        <f t="shared" ref="I44:K45" si="65">F44/C44</f>
        <v>160.86692307692309</v>
      </c>
      <c r="J44" s="14">
        <f t="shared" si="65"/>
        <v>226.81753086419755</v>
      </c>
      <c r="K44" s="14">
        <f t="shared" si="65"/>
        <v>194.46440251572329</v>
      </c>
      <c r="L44" s="14"/>
    </row>
    <row r="45" spans="1:13" s="15" customFormat="1" x14ac:dyDescent="0.25">
      <c r="A45" s="12" t="s">
        <v>34</v>
      </c>
      <c r="B45" s="12" t="s">
        <v>10</v>
      </c>
      <c r="C45" s="13">
        <v>19</v>
      </c>
      <c r="D45" s="13">
        <v>18</v>
      </c>
      <c r="E45" s="13">
        <f t="shared" si="63"/>
        <v>37</v>
      </c>
      <c r="F45" s="14">
        <v>886.2</v>
      </c>
      <c r="G45" s="14">
        <v>6958.62</v>
      </c>
      <c r="H45" s="14">
        <f t="shared" si="64"/>
        <v>7844.82</v>
      </c>
      <c r="I45" s="14">
        <f t="shared" si="65"/>
        <v>46.642105263157895</v>
      </c>
      <c r="J45" s="14">
        <f t="shared" si="65"/>
        <v>386.59</v>
      </c>
      <c r="K45" s="14">
        <f t="shared" si="65"/>
        <v>212.02216216216215</v>
      </c>
      <c r="L45" s="14"/>
    </row>
    <row r="46" spans="1:13" s="15" customFormat="1" x14ac:dyDescent="0.25">
      <c r="A46" s="12" t="s">
        <v>33</v>
      </c>
      <c r="B46" s="12" t="s">
        <v>10</v>
      </c>
      <c r="C46" s="13">
        <v>36.17</v>
      </c>
      <c r="D46" s="13">
        <v>28.83</v>
      </c>
      <c r="E46" s="13">
        <f t="shared" ref="E46" si="66">SUM(C46:D46)</f>
        <v>65</v>
      </c>
      <c r="F46" s="14">
        <v>5191.2</v>
      </c>
      <c r="G46" s="14">
        <v>143.69</v>
      </c>
      <c r="H46" s="14">
        <f t="shared" ref="H46" si="67">SUBTOTAL(9,F46:G46)</f>
        <v>5334.8899999999994</v>
      </c>
      <c r="I46" s="14">
        <f t="shared" ref="I46" si="68">F46/C46</f>
        <v>143.52225601327066</v>
      </c>
      <c r="J46" s="14">
        <f t="shared" ref="J46" si="69">G46/D46</f>
        <v>4.9840443981963238</v>
      </c>
      <c r="K46" s="14">
        <f t="shared" ref="K46" si="70">H46/E46</f>
        <v>82.075230769230757</v>
      </c>
      <c r="L46" s="14"/>
    </row>
    <row r="47" spans="1:13" x14ac:dyDescent="0.25">
      <c r="A47" s="2"/>
      <c r="B47" s="2"/>
      <c r="C47" s="6"/>
      <c r="D47" s="6"/>
      <c r="E47" s="6"/>
      <c r="F47" s="10"/>
      <c r="G47" s="10"/>
      <c r="H47" s="10"/>
      <c r="I47" s="10"/>
      <c r="J47" s="10"/>
      <c r="K47" s="10"/>
      <c r="L47" s="10"/>
    </row>
    <row r="48" spans="1:13" x14ac:dyDescent="0.25">
      <c r="F48" s="10"/>
      <c r="G48" s="10"/>
      <c r="H48" s="14">
        <v>1365.05</v>
      </c>
      <c r="I48" s="10"/>
      <c r="J48" s="10"/>
      <c r="K48" s="10"/>
      <c r="L48" s="10"/>
    </row>
    <row r="49" spans="1:12" x14ac:dyDescent="0.25">
      <c r="A49" s="4" t="s">
        <v>12</v>
      </c>
      <c r="F49" s="19"/>
      <c r="G49" s="19"/>
      <c r="H49" s="10">
        <v>3155.15</v>
      </c>
      <c r="I49" s="10"/>
      <c r="J49" s="10"/>
      <c r="K49" s="10"/>
      <c r="L49" s="10"/>
    </row>
    <row r="50" spans="1:12" x14ac:dyDescent="0.25">
      <c r="F50" s="10"/>
      <c r="G50" s="10"/>
      <c r="H50" s="10"/>
      <c r="I50" s="10"/>
      <c r="J50" s="10"/>
      <c r="K50" s="10"/>
      <c r="L50" s="10"/>
    </row>
    <row r="51" spans="1:12" x14ac:dyDescent="0.25">
      <c r="F51" s="10"/>
      <c r="G51" s="10"/>
      <c r="H51" s="10"/>
      <c r="I51" s="10"/>
      <c r="J51" s="10"/>
      <c r="K51" s="10"/>
      <c r="L51" s="10"/>
    </row>
    <row r="52" spans="1:12" x14ac:dyDescent="0.25">
      <c r="F52" s="10"/>
      <c r="G52" s="10"/>
      <c r="H52" s="10"/>
      <c r="I52" s="10"/>
      <c r="J52" s="10"/>
      <c r="K52" s="10"/>
      <c r="L52" s="10"/>
    </row>
    <row r="53" spans="1:12" x14ac:dyDescent="0.25">
      <c r="F53" s="10"/>
      <c r="G53" s="10"/>
      <c r="H53" s="10"/>
      <c r="I53" s="10"/>
      <c r="J53" s="10"/>
      <c r="K53" s="10"/>
      <c r="L53" s="10"/>
    </row>
    <row r="54" spans="1:12" x14ac:dyDescent="0.25">
      <c r="F54" s="10"/>
      <c r="G54" s="10"/>
      <c r="H54" s="10"/>
      <c r="I54" s="10"/>
      <c r="J54" s="10"/>
      <c r="K54" s="10"/>
      <c r="L54" s="10"/>
    </row>
    <row r="55" spans="1:12" x14ac:dyDescent="0.25">
      <c r="F55" s="10"/>
      <c r="G55" s="10"/>
      <c r="H55" s="10"/>
      <c r="I55" s="10"/>
      <c r="J55" s="10"/>
      <c r="K55" s="10"/>
      <c r="L55" s="10"/>
    </row>
    <row r="56" spans="1:12" x14ac:dyDescent="0.25">
      <c r="F56" s="10"/>
      <c r="G56" s="10"/>
      <c r="H56" s="10"/>
      <c r="I56" s="10"/>
      <c r="J56" s="10"/>
      <c r="K56" s="10"/>
      <c r="L56" s="10"/>
    </row>
    <row r="57" spans="1:12" x14ac:dyDescent="0.25">
      <c r="F57" s="10"/>
      <c r="G57" s="10"/>
      <c r="H57" s="10"/>
      <c r="I57" s="10"/>
      <c r="J57" s="10"/>
      <c r="K57" s="10"/>
      <c r="L57" s="10"/>
    </row>
    <row r="58" spans="1:12" x14ac:dyDescent="0.25">
      <c r="F58" s="10"/>
      <c r="G58" s="10"/>
      <c r="H58" s="10"/>
      <c r="I58" s="10"/>
      <c r="J58" s="10"/>
      <c r="K58" s="10"/>
      <c r="L58" s="10"/>
    </row>
    <row r="59" spans="1:12" x14ac:dyDescent="0.25">
      <c r="F59" s="10"/>
      <c r="G59" s="10"/>
      <c r="H59" s="10"/>
      <c r="I59" s="10"/>
      <c r="J59" s="10"/>
      <c r="K59" s="10"/>
      <c r="L59" s="10"/>
    </row>
    <row r="60" spans="1:12" x14ac:dyDescent="0.25">
      <c r="F60" s="10"/>
      <c r="G60" s="10"/>
      <c r="H60" s="10"/>
      <c r="I60" s="10"/>
      <c r="J60" s="10"/>
      <c r="K60" s="10"/>
      <c r="L60" s="10"/>
    </row>
    <row r="61" spans="1:12" x14ac:dyDescent="0.25">
      <c r="F61" s="10"/>
      <c r="G61" s="10"/>
      <c r="H61" s="10"/>
      <c r="I61" s="10"/>
      <c r="J61" s="10"/>
      <c r="K61" s="10"/>
      <c r="L61" s="10"/>
    </row>
    <row r="62" spans="1:12" x14ac:dyDescent="0.25">
      <c r="F62" s="10"/>
      <c r="G62" s="10"/>
      <c r="H62" s="10"/>
      <c r="I62" s="10"/>
      <c r="J62" s="10"/>
      <c r="K62" s="10"/>
      <c r="L62" s="10"/>
    </row>
    <row r="63" spans="1:12" x14ac:dyDescent="0.25">
      <c r="F63" s="10"/>
      <c r="G63" s="10"/>
      <c r="H63" s="10"/>
      <c r="I63" s="10"/>
      <c r="J63" s="10"/>
      <c r="K63" s="10"/>
      <c r="L63" s="10"/>
    </row>
    <row r="64" spans="1:12" x14ac:dyDescent="0.25">
      <c r="F64" s="10"/>
      <c r="G64" s="10"/>
      <c r="H64" s="10"/>
      <c r="I64" s="10"/>
      <c r="J64" s="10"/>
      <c r="K64" s="10"/>
      <c r="L64" s="10"/>
    </row>
    <row r="65" spans="6:12" x14ac:dyDescent="0.25">
      <c r="F65" s="10"/>
      <c r="G65" s="10"/>
      <c r="H65" s="10"/>
      <c r="I65" s="10"/>
      <c r="J65" s="10"/>
      <c r="K65" s="10"/>
      <c r="L65" s="10"/>
    </row>
    <row r="66" spans="6:12" x14ac:dyDescent="0.25">
      <c r="F66" s="10"/>
      <c r="G66" s="10"/>
      <c r="H66" s="10"/>
      <c r="I66" s="10"/>
      <c r="J66" s="10"/>
      <c r="K66" s="10"/>
      <c r="L66" s="10"/>
    </row>
    <row r="67" spans="6:12" x14ac:dyDescent="0.25">
      <c r="F67" s="10"/>
      <c r="G67" s="10"/>
      <c r="H67" s="10"/>
      <c r="I67" s="10"/>
      <c r="J67" s="10"/>
      <c r="K67" s="10"/>
      <c r="L67" s="10"/>
    </row>
    <row r="68" spans="6:12" x14ac:dyDescent="0.25">
      <c r="F68" s="10"/>
      <c r="G68" s="10"/>
      <c r="H68" s="10"/>
      <c r="I68" s="10"/>
      <c r="J68" s="10"/>
      <c r="K68" s="10"/>
      <c r="L68" s="10"/>
    </row>
    <row r="69" spans="6:12" x14ac:dyDescent="0.25">
      <c r="F69" s="10"/>
      <c r="G69" s="10"/>
      <c r="H69" s="10"/>
      <c r="I69" s="10"/>
      <c r="J69" s="10"/>
      <c r="K69" s="10"/>
      <c r="L69" s="10"/>
    </row>
    <row r="70" spans="6:12" x14ac:dyDescent="0.25">
      <c r="F70" s="10"/>
      <c r="G70" s="10"/>
      <c r="H70" s="10"/>
      <c r="I70" s="10"/>
      <c r="J70" s="10"/>
      <c r="K70" s="10"/>
      <c r="L70" s="10"/>
    </row>
    <row r="71" spans="6:12" x14ac:dyDescent="0.25">
      <c r="F71" s="10"/>
      <c r="G71" s="10"/>
      <c r="H71" s="10"/>
      <c r="I71" s="10"/>
      <c r="J71" s="10"/>
      <c r="K71" s="10"/>
      <c r="L71" s="10"/>
    </row>
    <row r="72" spans="6:12" x14ac:dyDescent="0.25">
      <c r="F72" s="10"/>
      <c r="G72" s="10"/>
      <c r="H72" s="10"/>
      <c r="I72" s="10"/>
      <c r="J72" s="10"/>
      <c r="K72" s="10"/>
      <c r="L72" s="10"/>
    </row>
    <row r="73" spans="6:12" x14ac:dyDescent="0.25">
      <c r="F73" s="10"/>
      <c r="G73" s="10"/>
      <c r="H73" s="10"/>
      <c r="I73" s="10"/>
      <c r="J73" s="10"/>
      <c r="K73" s="10"/>
      <c r="L73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7:I22"/>
  <sheetViews>
    <sheetView workbookViewId="0">
      <selection activeCell="G14" sqref="A1:XFD1048576"/>
    </sheetView>
  </sheetViews>
  <sheetFormatPr defaultRowHeight="15" x14ac:dyDescent="0.25"/>
  <sheetData>
    <row r="7" spans="4:9" x14ac:dyDescent="0.25">
      <c r="E7" s="18"/>
    </row>
    <row r="9" spans="4:9" x14ac:dyDescent="0.25">
      <c r="E9" t="s">
        <v>25</v>
      </c>
    </row>
    <row r="10" spans="4:9" x14ac:dyDescent="0.25">
      <c r="E10">
        <v>54</v>
      </c>
    </row>
    <row r="11" spans="4:9" x14ac:dyDescent="0.25">
      <c r="E11">
        <v>260</v>
      </c>
    </row>
    <row r="12" spans="4:9" x14ac:dyDescent="0.25">
      <c r="E12">
        <v>260</v>
      </c>
    </row>
    <row r="13" spans="4:9" x14ac:dyDescent="0.25">
      <c r="E13">
        <v>48.9</v>
      </c>
    </row>
    <row r="14" spans="4:9" x14ac:dyDescent="0.25">
      <c r="D14" t="s">
        <v>27</v>
      </c>
      <c r="E14">
        <f>SUM(E10:E13)</f>
        <v>622.9</v>
      </c>
      <c r="G14">
        <f>0.55*E14</f>
        <v>342.59500000000003</v>
      </c>
      <c r="I14">
        <f>193*14</f>
        <v>2702</v>
      </c>
    </row>
    <row r="19" spans="4:7" x14ac:dyDescent="0.25">
      <c r="E19" t="s">
        <v>26</v>
      </c>
    </row>
    <row r="20" spans="4:7" x14ac:dyDescent="0.25">
      <c r="E20">
        <v>85</v>
      </c>
    </row>
    <row r="21" spans="4:7" x14ac:dyDescent="0.25">
      <c r="E21">
        <v>11</v>
      </c>
    </row>
    <row r="22" spans="4:7" x14ac:dyDescent="0.25">
      <c r="D22" t="s">
        <v>27</v>
      </c>
      <c r="E22">
        <f>SUM(E20:E21)</f>
        <v>96</v>
      </c>
      <c r="G22">
        <f>0.55*E22</f>
        <v>52.800000000000004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sqref="A1:XFD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6</dc:creator>
  <cp:lastModifiedBy>Artee Admin</cp:lastModifiedBy>
  <dcterms:created xsi:type="dcterms:W3CDTF">2020-02-21T11:09:00Z</dcterms:created>
  <dcterms:modified xsi:type="dcterms:W3CDTF">2026-07-01T16:06:17Z</dcterms:modified>
</cp:coreProperties>
</file>