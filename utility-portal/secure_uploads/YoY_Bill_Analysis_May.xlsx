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Yo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374151"/>
      </top>
      <bottom style="double">
        <color rgb="0037415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Telephone &amp; Internet Combined Expenses - May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'May YoY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Analysis'!$B$5:$B$25</f>
            </numRef>
          </cat>
          <val>
            <numRef>
              <f>'May YoY Analysis'!$C$5:$C$25</f>
            </numRef>
          </val>
        </ser>
        <ser>
          <idx val="1"/>
          <order val="1"/>
          <tx>
            <strRef>
              <f>'May YoY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Analysis'!$B$5:$B$25</f>
            </numRef>
          </cat>
          <val>
            <numRef>
              <f>'May YoY Analysis'!$D$5:$D$25</f>
            </numRef>
          </val>
        </ser>
        <ser>
          <idx val="2"/>
          <order val="2"/>
          <tx>
            <strRef>
              <f>'May YoY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Analysis'!$B$5:$B$25</f>
            </numRef>
          </cat>
          <val>
            <numRef>
              <f>'May YoY Analysis'!$E$5:$E$25</f>
            </numRef>
          </val>
        </ser>
        <ser>
          <idx val="3"/>
          <order val="3"/>
          <tx>
            <strRef>
              <f>'May YoY 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YoY Analysis'!$B$5:$B$25</f>
            </numRef>
          </cat>
          <val>
            <numRef>
              <f>'May YoY Analysis'!$F$5:$F$25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Retail 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Combined Expense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90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2" customWidth="1" min="3" max="3"/>
    <col width="17" customWidth="1" min="4" max="4"/>
    <col width="22" customWidth="1" min="5" max="5"/>
    <col width="22" customWidth="1" min="6" max="6"/>
  </cols>
  <sheetData>
    <row r="1" ht="30" customHeight="1">
      <c r="A1" s="1" t="inlineStr">
        <is>
          <t>Year-over-Year Utility Analysis: MAY</t>
        </is>
      </c>
    </row>
    <row r="2" ht="20" customHeight="1">
      <c r="A2" s="2" t="inlineStr">
        <is>
          <t>Telephone &amp; Internet Combined Expenses Report</t>
        </is>
      </c>
    </row>
    <row r="3"/>
    <row r="4" ht="25" customHeight="1">
      <c r="A4" s="3" t="inlineStr">
        <is>
          <t>Store Code</t>
        </is>
      </c>
      <c r="B4" s="3" t="inlineStr">
        <is>
          <t>Store Location</t>
        </is>
      </c>
      <c r="C4" s="3" t="inlineStr">
        <is>
          <t>2023 Combined</t>
        </is>
      </c>
      <c r="D4" s="3" t="inlineStr">
        <is>
          <t>2024 Combined</t>
        </is>
      </c>
      <c r="E4" s="3" t="inlineStr">
        <is>
          <t>2025 Combined</t>
        </is>
      </c>
      <c r="F4" s="3" t="inlineStr">
        <is>
          <t>2026 Combined</t>
        </is>
      </c>
    </row>
    <row r="5" ht="20" customHeight="1">
      <c r="A5" s="4" t="n">
        <v>53</v>
      </c>
      <c r="B5" s="5" t="inlineStr">
        <is>
          <t>ATLANTA-503</t>
        </is>
      </c>
      <c r="C5" s="6" t="n">
        <v>0</v>
      </c>
      <c r="D5" s="6" t="n">
        <v>0</v>
      </c>
      <c r="E5" s="6" t="n">
        <v>0</v>
      </c>
      <c r="F5" s="6" t="n">
        <v>0</v>
      </c>
    </row>
    <row r="6" ht="20" customHeight="1">
      <c r="A6" s="7" t="n">
        <v>83</v>
      </c>
      <c r="B6" s="8" t="inlineStr">
        <is>
          <t>BURLINGTON-803</t>
        </is>
      </c>
      <c r="C6" s="9" t="n">
        <v>299.71</v>
      </c>
      <c r="D6" s="9" t="n">
        <v>292.62</v>
      </c>
      <c r="E6" s="9" t="n">
        <v>119.98</v>
      </c>
      <c r="F6" s="9" t="n">
        <v>276.02</v>
      </c>
    </row>
    <row r="7" ht="20" customHeight="1">
      <c r="A7" s="4" t="n">
        <v>70</v>
      </c>
      <c r="B7" s="5" t="inlineStr">
        <is>
          <t>Cincinnati-700</t>
        </is>
      </c>
      <c r="C7" s="6" t="n">
        <v>208.53</v>
      </c>
      <c r="D7" s="6" t="n">
        <v>423.34</v>
      </c>
      <c r="E7" s="6" t="n">
        <v>217.02</v>
      </c>
      <c r="F7" s="6" t="n">
        <v>446.77</v>
      </c>
    </row>
    <row r="8" ht="20" customHeight="1">
      <c r="A8" s="7" t="n">
        <v>73</v>
      </c>
      <c r="B8" s="8" t="inlineStr">
        <is>
          <t>GOOD GOODS-703</t>
        </is>
      </c>
      <c r="C8" s="9" t="n">
        <v>377.6</v>
      </c>
      <c r="D8" s="9" t="n">
        <v>474.56</v>
      </c>
      <c r="E8" s="9" t="n">
        <v>168.64</v>
      </c>
      <c r="F8" s="9" t="n">
        <v>337.19</v>
      </c>
    </row>
    <row r="9" ht="20" customHeight="1">
      <c r="A9" s="4" t="n">
        <v>81</v>
      </c>
      <c r="B9" s="5" t="inlineStr">
        <is>
          <t>GREENSBORO-801</t>
        </is>
      </c>
      <c r="C9" s="6" t="n">
        <v>157.96</v>
      </c>
      <c r="D9" s="6" t="n">
        <v>329.94</v>
      </c>
      <c r="E9" s="6" t="n">
        <v>0</v>
      </c>
      <c r="F9" s="6" t="n">
        <v>0</v>
      </c>
    </row>
    <row r="10" ht="20" customHeight="1">
      <c r="A10" s="7" t="n">
        <v>50</v>
      </c>
      <c r="B10" s="8" t="inlineStr">
        <is>
          <t>HUDSON</t>
        </is>
      </c>
      <c r="C10" s="9" t="n">
        <v>271.11</v>
      </c>
      <c r="D10" s="9" t="n">
        <v>575.26</v>
      </c>
      <c r="E10" s="9" t="n">
        <v>119</v>
      </c>
      <c r="F10" s="9" t="n">
        <v>119</v>
      </c>
    </row>
    <row r="11" ht="20" customHeight="1">
      <c r="A11" s="4" t="n">
        <v>1</v>
      </c>
      <c r="B11" s="5" t="inlineStr">
        <is>
          <t>MA'AM</t>
        </is>
      </c>
      <c r="C11" s="6" t="n">
        <v>420.13</v>
      </c>
      <c r="D11" s="6" t="n">
        <v>728.8</v>
      </c>
      <c r="E11" s="6" t="n">
        <v>0</v>
      </c>
      <c r="F11" s="6" t="n">
        <v>0</v>
      </c>
    </row>
    <row r="12" ht="20" customHeight="1">
      <c r="A12" s="7" t="n">
        <v>100</v>
      </c>
      <c r="B12" s="8" t="inlineStr">
        <is>
          <t>Main</t>
        </is>
      </c>
      <c r="C12" s="9" t="n">
        <v>518.48</v>
      </c>
      <c r="D12" s="9" t="n">
        <v>1460.48</v>
      </c>
      <c r="E12" s="9" t="n">
        <v>407.79</v>
      </c>
      <c r="F12" s="9" t="n">
        <v>721.45</v>
      </c>
    </row>
    <row r="13" ht="20" customHeight="1">
      <c r="A13" s="4" t="n">
        <v>67</v>
      </c>
      <c r="B13" s="5" t="inlineStr">
        <is>
          <t>METARIE-607</t>
        </is>
      </c>
      <c r="C13" s="6" t="n">
        <v>210.23</v>
      </c>
      <c r="D13" s="6" t="n">
        <v>424.1</v>
      </c>
      <c r="E13" s="6" t="n">
        <v>184.78</v>
      </c>
      <c r="F13" s="6" t="n">
        <v>425.04</v>
      </c>
    </row>
    <row r="14" ht="20" customHeight="1">
      <c r="A14" s="7" t="n">
        <v>71</v>
      </c>
      <c r="B14" s="8" t="inlineStr">
        <is>
          <t>Rags and Riches 701</t>
        </is>
      </c>
      <c r="C14" s="9" t="n">
        <v>222.16</v>
      </c>
      <c r="D14" s="9" t="n">
        <v>502.2</v>
      </c>
      <c r="E14" s="9" t="n">
        <v>245.89</v>
      </c>
      <c r="F14" s="9" t="n">
        <v>767.74</v>
      </c>
    </row>
    <row r="15" ht="20" customHeight="1">
      <c r="A15" s="4" t="n">
        <v>82</v>
      </c>
      <c r="B15" s="5" t="inlineStr">
        <is>
          <t>RALEIGH-802</t>
        </is>
      </c>
      <c r="C15" s="6" t="n">
        <v>326.41</v>
      </c>
      <c r="D15" s="6" t="n">
        <v>603.4</v>
      </c>
      <c r="E15" s="6" t="n">
        <v>405.59</v>
      </c>
      <c r="F15" s="6" t="n">
        <v>732.74</v>
      </c>
    </row>
    <row r="16" ht="20" customHeight="1">
      <c r="A16" s="7" t="n">
        <v>62</v>
      </c>
      <c r="B16" s="8" t="inlineStr">
        <is>
          <t>Richmond 602</t>
        </is>
      </c>
      <c r="C16" s="9" t="n">
        <v>159.73</v>
      </c>
      <c r="D16" s="9" t="n">
        <v>357.74</v>
      </c>
      <c r="E16" s="9" t="n">
        <v>190.06</v>
      </c>
      <c r="F16" s="9" t="n">
        <v>519.74</v>
      </c>
    </row>
    <row r="17" ht="20" customHeight="1">
      <c r="A17" s="4" t="n">
        <v>64</v>
      </c>
      <c r="B17" s="5" t="inlineStr">
        <is>
          <t>VA BEACH -604</t>
        </is>
      </c>
      <c r="C17" s="6" t="n">
        <v>164.16</v>
      </c>
      <c r="D17" s="6" t="n">
        <v>372.28</v>
      </c>
      <c r="E17" s="6" t="n">
        <v>156.86</v>
      </c>
      <c r="F17" s="6" t="n">
        <v>375.54</v>
      </c>
    </row>
    <row r="18" ht="20" customHeight="1">
      <c r="A18" s="7" t="n">
        <v>2</v>
      </c>
      <c r="B18" s="8" t="inlineStr">
        <is>
          <t>Warehouse</t>
        </is>
      </c>
      <c r="C18" s="9" t="n">
        <v>66.51000000000001</v>
      </c>
      <c r="D18" s="9" t="n">
        <v>133.02</v>
      </c>
      <c r="E18" s="9" t="n">
        <v>0</v>
      </c>
      <c r="F18" s="9" t="n">
        <v>90.48999999999999</v>
      </c>
    </row>
    <row r="19" ht="20" customHeight="1">
      <c r="A19" s="4" t="n">
        <v>63</v>
      </c>
      <c r="B19" s="5" t="inlineStr">
        <is>
          <t>Wilmington 603</t>
        </is>
      </c>
      <c r="C19" s="6" t="n">
        <v>247.62</v>
      </c>
      <c r="D19" s="6" t="n">
        <v>508.14</v>
      </c>
      <c r="E19" s="6" t="n">
        <v>159.97</v>
      </c>
      <c r="F19" s="6" t="n">
        <v>358.88</v>
      </c>
    </row>
    <row r="20" ht="20" customHeight="1">
      <c r="A20" s="7" t="n">
        <v>74</v>
      </c>
      <c r="B20" s="8" t="inlineStr">
        <is>
          <t>Princeton 704</t>
        </is>
      </c>
      <c r="C20" s="9" t="n">
        <v>180.26</v>
      </c>
      <c r="D20" s="9" t="n">
        <v>449.7</v>
      </c>
      <c r="E20" s="9" t="n">
        <v>290.08</v>
      </c>
      <c r="F20" s="9" t="n">
        <v>290.08</v>
      </c>
    </row>
    <row r="21" ht="20" customHeight="1">
      <c r="A21" s="4" t="n">
        <v>76</v>
      </c>
      <c r="B21" s="5" t="inlineStr">
        <is>
          <t>WARWICK</t>
        </is>
      </c>
      <c r="C21" s="6" t="n">
        <v>194.59</v>
      </c>
      <c r="D21" s="6" t="n">
        <v>426.74</v>
      </c>
      <c r="E21" s="6" t="n">
        <v>0</v>
      </c>
      <c r="F21" s="6" t="n">
        <v>0</v>
      </c>
    </row>
    <row r="22" ht="20" customHeight="1">
      <c r="A22" s="7" t="n">
        <v>77</v>
      </c>
      <c r="B22" s="8" t="inlineStr">
        <is>
          <t>MIDDLETOWN</t>
        </is>
      </c>
      <c r="C22" s="9" t="n">
        <v>160.28</v>
      </c>
      <c r="D22" s="9" t="n">
        <v>379.52</v>
      </c>
      <c r="E22" s="9" t="n">
        <v>216.8</v>
      </c>
      <c r="F22" s="9" t="n">
        <v>216.8</v>
      </c>
    </row>
    <row r="23" ht="20" customHeight="1">
      <c r="A23" s="4" t="n">
        <v>101</v>
      </c>
      <c r="B23" s="5" t="inlineStr">
        <is>
          <t>COLCHESTER</t>
        </is>
      </c>
      <c r="C23" s="6" t="n">
        <v>92.18000000000001</v>
      </c>
      <c r="D23" s="6" t="n">
        <v>0</v>
      </c>
      <c r="E23" s="6" t="n">
        <v>0</v>
      </c>
      <c r="F23" s="6" t="n">
        <v>0</v>
      </c>
    </row>
    <row r="24" ht="20" customHeight="1">
      <c r="A24" s="7" t="n">
        <v>54</v>
      </c>
      <c r="B24" s="8" t="inlineStr">
        <is>
          <t>NEWTON</t>
        </is>
      </c>
      <c r="C24" s="9" t="n">
        <v>0</v>
      </c>
      <c r="D24" s="9" t="n">
        <v>178</v>
      </c>
      <c r="E24" s="9" t="n">
        <v>99</v>
      </c>
      <c r="F24" s="9" t="n">
        <v>99</v>
      </c>
    </row>
    <row r="25" ht="20" customHeight="1">
      <c r="A25" s="4" t="n">
        <v>78</v>
      </c>
      <c r="B25" s="5" t="inlineStr">
        <is>
          <t>PORTSMOUTH</t>
        </is>
      </c>
      <c r="C25" s="6" t="n">
        <v>0</v>
      </c>
      <c r="D25" s="6" t="n">
        <v>282.02</v>
      </c>
      <c r="E25" s="6" t="n">
        <v>115.87</v>
      </c>
      <c r="F25" s="6" t="n">
        <v>115.87</v>
      </c>
    </row>
    <row r="26" ht="22" customHeight="1">
      <c r="A26" s="10" t="inlineStr"/>
      <c r="B26" s="11" t="inlineStr">
        <is>
          <t>TOTAL EXPENSE</t>
        </is>
      </c>
      <c r="C26" s="12">
        <f>SUM(C5:C25)</f>
        <v/>
      </c>
      <c r="D26" s="12">
        <f>SUM(D5:D25)</f>
        <v/>
      </c>
      <c r="E26" s="12">
        <f>SUM(E5:E25)</f>
        <v/>
      </c>
      <c r="F26" s="12">
        <f>SUM(F5:F25)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2026-06-26T14:24:57Z</dcterms:created>
  <dcterms:modified xmlns:dcterms="http://purl.org/dc/terms/" xmlns:xsi="http://www.w3.org/2001/XMLSchema-instance" xsi:type="dcterms:W3CDTF">2026-06-26T14:24:57Z</dcterms:modified>
</cp:coreProperties>
</file>