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ember Yo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E7FF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3F4F6"/>
        <bgColor rgb="00F3F4F6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top style="thin">
        <color rgb="00374151"/>
      </top>
      <bottom style="double">
        <color rgb="0037415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0" fontId="0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Telephone &amp; Internet Combined Expenses - December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'December YoY Analysis'!C4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'December YoY Analysis'!$B$5:$B$25</f>
            </numRef>
          </cat>
          <val>
            <numRef>
              <f>'December YoY Analysis'!$C$5:$C$25</f>
            </numRef>
          </val>
        </ser>
        <ser>
          <idx val="1"/>
          <order val="1"/>
          <tx>
            <strRef>
              <f>'December YoY Analysis'!D4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'December YoY Analysis'!$B$5:$B$25</f>
            </numRef>
          </cat>
          <val>
            <numRef>
              <f>'December YoY Analysis'!$D$5:$D$25</f>
            </numRef>
          </val>
        </ser>
        <ser>
          <idx val="2"/>
          <order val="2"/>
          <tx>
            <strRef>
              <f>'December YoY Analysis'!E4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'December YoY Analysis'!$B$5:$B$25</f>
            </numRef>
          </cat>
          <val>
            <numRef>
              <f>'December YoY Analysis'!$E$5:$E$25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Retail Store Location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Combined Expense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90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2" customWidth="1" min="3" max="3"/>
    <col width="21" customWidth="1" min="4" max="4"/>
    <col width="21" customWidth="1" min="5" max="5"/>
  </cols>
  <sheetData>
    <row r="1" ht="30" customHeight="1">
      <c r="A1" s="1" t="inlineStr">
        <is>
          <t>Year-over-Year Utility Analysis: DECEMBER</t>
        </is>
      </c>
    </row>
    <row r="2" ht="20" customHeight="1">
      <c r="A2" s="2" t="inlineStr">
        <is>
          <t>Telephone &amp; Internet Combined Expenses Report</t>
        </is>
      </c>
    </row>
    <row r="3"/>
    <row r="4" ht="25" customHeight="1">
      <c r="A4" s="3" t="inlineStr">
        <is>
          <t>Store Code</t>
        </is>
      </c>
      <c r="B4" s="3" t="inlineStr">
        <is>
          <t>Store Location</t>
        </is>
      </c>
      <c r="C4" s="3" t="inlineStr">
        <is>
          <t>2023 Combined</t>
        </is>
      </c>
      <c r="D4" s="3" t="inlineStr">
        <is>
          <t>2024 Combined</t>
        </is>
      </c>
      <c r="E4" s="3" t="inlineStr">
        <is>
          <t>2026 Combined</t>
        </is>
      </c>
    </row>
    <row r="5" ht="20" customHeight="1">
      <c r="A5" s="4" t="n">
        <v>53</v>
      </c>
      <c r="B5" s="5" t="inlineStr">
        <is>
          <t>ATLANTA-503</t>
        </is>
      </c>
      <c r="C5" s="6" t="n">
        <v>0</v>
      </c>
      <c r="D5" s="6" t="n">
        <v>0</v>
      </c>
      <c r="E5" s="6" t="n">
        <v>0</v>
      </c>
    </row>
    <row r="6" ht="20" customHeight="1">
      <c r="A6" s="7" t="n">
        <v>83</v>
      </c>
      <c r="B6" s="8" t="inlineStr">
        <is>
          <t>BURLINGTON-803</t>
        </is>
      </c>
      <c r="C6" s="9" t="n">
        <v>139.3</v>
      </c>
      <c r="D6" s="9" t="n">
        <v>176.98</v>
      </c>
      <c r="E6" s="9" t="n">
        <v>296.96</v>
      </c>
    </row>
    <row r="7" ht="20" customHeight="1">
      <c r="A7" s="4" t="n">
        <v>70</v>
      </c>
      <c r="B7" s="5" t="inlineStr">
        <is>
          <t>Cincinnati-700</t>
        </is>
      </c>
      <c r="C7" s="6" t="n">
        <v>212.47</v>
      </c>
      <c r="D7" s="6" t="n">
        <v>213.99</v>
      </c>
      <c r="E7" s="6" t="n">
        <v>432.51</v>
      </c>
    </row>
    <row r="8" ht="20" customHeight="1">
      <c r="A8" s="7" t="n">
        <v>73</v>
      </c>
      <c r="B8" s="8" t="inlineStr">
        <is>
          <t>GOOD GOODS-703</t>
        </is>
      </c>
      <c r="C8" s="9" t="n">
        <v>237.26</v>
      </c>
      <c r="D8" s="9" t="n">
        <v>291.3</v>
      </c>
      <c r="E8" s="9" t="n">
        <v>460.02</v>
      </c>
    </row>
    <row r="9" ht="20" customHeight="1">
      <c r="A9" s="4" t="n">
        <v>81</v>
      </c>
      <c r="B9" s="5" t="inlineStr">
        <is>
          <t>GREENSBORO-801</t>
        </is>
      </c>
      <c r="C9" s="6" t="n">
        <v>157.96</v>
      </c>
      <c r="D9" s="6" t="n">
        <v>0</v>
      </c>
      <c r="E9" s="6" t="n">
        <v>0</v>
      </c>
    </row>
    <row r="10" ht="20" customHeight="1">
      <c r="A10" s="7" t="n">
        <v>50</v>
      </c>
      <c r="B10" s="8" t="inlineStr">
        <is>
          <t>HUDSON</t>
        </is>
      </c>
      <c r="C10" s="9" t="n">
        <v>304.58</v>
      </c>
      <c r="D10" s="9" t="n">
        <v>286.45</v>
      </c>
      <c r="E10" s="9" t="n">
        <v>286.45</v>
      </c>
    </row>
    <row r="11" ht="20" customHeight="1">
      <c r="A11" s="4" t="n">
        <v>1</v>
      </c>
      <c r="B11" s="5" t="inlineStr">
        <is>
          <t>MA'AM</t>
        </is>
      </c>
      <c r="C11" s="6" t="n">
        <v>-385.71</v>
      </c>
      <c r="D11" s="6" t="n">
        <v>419.77</v>
      </c>
      <c r="E11" s="6" t="n">
        <v>419.77</v>
      </c>
    </row>
    <row r="12" ht="20" customHeight="1">
      <c r="A12" s="7" t="n">
        <v>100</v>
      </c>
      <c r="B12" s="8" t="inlineStr">
        <is>
          <t>Main</t>
        </is>
      </c>
      <c r="C12" s="9" t="n">
        <v>504.17</v>
      </c>
      <c r="D12" s="9" t="n">
        <v>705.1400000000001</v>
      </c>
      <c r="E12" s="9" t="n">
        <v>1497.88</v>
      </c>
    </row>
    <row r="13" ht="20" customHeight="1">
      <c r="A13" s="4" t="n">
        <v>67</v>
      </c>
      <c r="B13" s="5" t="inlineStr">
        <is>
          <t>METARIE-607</t>
        </is>
      </c>
      <c r="C13" s="6" t="n">
        <v>208.97</v>
      </c>
      <c r="D13" s="6" t="n">
        <v>203.42</v>
      </c>
      <c r="E13" s="6" t="n">
        <v>398.11</v>
      </c>
    </row>
    <row r="14" ht="20" customHeight="1">
      <c r="A14" s="7" t="n">
        <v>71</v>
      </c>
      <c r="B14" s="8" t="inlineStr">
        <is>
          <t>Rags and Riches 701</t>
        </is>
      </c>
      <c r="C14" s="9" t="n">
        <v>248.46</v>
      </c>
      <c r="D14" s="9" t="n">
        <v>252.66</v>
      </c>
      <c r="E14" s="9" t="n">
        <v>529.33</v>
      </c>
    </row>
    <row r="15" ht="20" customHeight="1">
      <c r="A15" s="4" t="n">
        <v>82</v>
      </c>
      <c r="B15" s="5" t="inlineStr">
        <is>
          <t>RALEIGH-802</t>
        </is>
      </c>
      <c r="C15" s="6" t="n">
        <v>297.2</v>
      </c>
      <c r="D15" s="6" t="n">
        <v>302.95</v>
      </c>
      <c r="E15" s="6" t="n">
        <v>606.6800000000001</v>
      </c>
    </row>
    <row r="16" ht="20" customHeight="1">
      <c r="A16" s="7" t="n">
        <v>62</v>
      </c>
      <c r="B16" s="8" t="inlineStr">
        <is>
          <t>Richmond 602</t>
        </is>
      </c>
      <c r="C16" s="9" t="n">
        <v>160.42</v>
      </c>
      <c r="D16" s="9" t="n">
        <v>179.19</v>
      </c>
      <c r="E16" s="9" t="n">
        <v>344.19</v>
      </c>
    </row>
    <row r="17" ht="20" customHeight="1">
      <c r="A17" s="4" t="n">
        <v>64</v>
      </c>
      <c r="B17" s="5" t="inlineStr">
        <is>
          <t>VA BEACH -604</t>
        </is>
      </c>
      <c r="C17" s="6" t="n">
        <v>164.63</v>
      </c>
      <c r="D17" s="6" t="n">
        <v>187.18</v>
      </c>
      <c r="E17" s="6" t="n">
        <v>344.36</v>
      </c>
    </row>
    <row r="18" ht="20" customHeight="1">
      <c r="A18" s="7" t="n">
        <v>2</v>
      </c>
      <c r="B18" s="8" t="inlineStr">
        <is>
          <t>Warehouse</t>
        </is>
      </c>
      <c r="C18" s="9" t="n">
        <v>66.51000000000001</v>
      </c>
      <c r="D18" s="9" t="n">
        <v>119.64</v>
      </c>
      <c r="E18" s="9" t="n">
        <v>190.13</v>
      </c>
    </row>
    <row r="19" ht="20" customHeight="1">
      <c r="A19" s="4" t="n">
        <v>63</v>
      </c>
      <c r="B19" s="5" t="inlineStr">
        <is>
          <t>Wilmington 603</t>
        </is>
      </c>
      <c r="C19" s="6" t="n">
        <v>249.63</v>
      </c>
      <c r="D19" s="6" t="n">
        <v>255.33</v>
      </c>
      <c r="E19" s="6" t="n">
        <v>415.3</v>
      </c>
    </row>
    <row r="20" ht="20" customHeight="1">
      <c r="A20" s="7" t="n">
        <v>74</v>
      </c>
      <c r="B20" s="8" t="inlineStr">
        <is>
          <t>Princeton 704</t>
        </is>
      </c>
      <c r="C20" s="9" t="n">
        <v>236.21</v>
      </c>
      <c r="D20" s="9" t="n">
        <v>276.33</v>
      </c>
      <c r="E20" s="9" t="n">
        <v>276.33</v>
      </c>
    </row>
    <row r="21" ht="20" customHeight="1">
      <c r="A21" s="4" t="n">
        <v>76</v>
      </c>
      <c r="B21" s="5" t="inlineStr">
        <is>
          <t>WARWICK</t>
        </is>
      </c>
      <c r="C21" s="6" t="n">
        <v>214.25</v>
      </c>
      <c r="D21" s="6" t="n">
        <v>0</v>
      </c>
      <c r="E21" s="6" t="n">
        <v>0</v>
      </c>
    </row>
    <row r="22" ht="20" customHeight="1">
      <c r="A22" s="7" t="n">
        <v>77</v>
      </c>
      <c r="B22" s="8" t="inlineStr">
        <is>
          <t>MIDDLETOWN</t>
        </is>
      </c>
      <c r="C22" s="9" t="n">
        <v>186.68</v>
      </c>
      <c r="D22" s="9" t="n">
        <v>226.26</v>
      </c>
      <c r="E22" s="9" t="n">
        <v>226.26</v>
      </c>
    </row>
    <row r="23" ht="20" customHeight="1">
      <c r="A23" s="4" t="n">
        <v>101</v>
      </c>
      <c r="B23" s="5" t="inlineStr">
        <is>
          <t>COLCHESTER</t>
        </is>
      </c>
      <c r="C23" s="6" t="n">
        <v>116.38</v>
      </c>
      <c r="D23" s="6" t="n">
        <v>0</v>
      </c>
      <c r="E23" s="6" t="n">
        <v>0</v>
      </c>
    </row>
    <row r="24" ht="20" customHeight="1">
      <c r="A24" s="7" t="n">
        <v>54</v>
      </c>
      <c r="B24" s="8" t="inlineStr">
        <is>
          <t>NEWTON</t>
        </is>
      </c>
      <c r="C24" s="9" t="n">
        <v>105.34</v>
      </c>
      <c r="D24" s="9" t="n">
        <v>99</v>
      </c>
      <c r="E24" s="9" t="n">
        <v>99</v>
      </c>
    </row>
    <row r="25" ht="20" customHeight="1">
      <c r="A25" s="4" t="n">
        <v>78</v>
      </c>
      <c r="B25" s="5" t="inlineStr">
        <is>
          <t>PORTSMOUTH</t>
        </is>
      </c>
      <c r="C25" s="6" t="n">
        <v>0</v>
      </c>
      <c r="D25" s="6" t="n">
        <v>141.14</v>
      </c>
      <c r="E25" s="6" t="n">
        <v>282.9</v>
      </c>
    </row>
    <row r="26" ht="22" customHeight="1">
      <c r="A26" s="10" t="inlineStr"/>
      <c r="B26" s="11" t="inlineStr">
        <is>
          <t>TOTAL EXPENSE</t>
        </is>
      </c>
      <c r="C26" s="12">
        <f>SUM(C5:C25)</f>
        <v/>
      </c>
      <c r="D26" s="12">
        <f>SUM(D5:D25)</f>
        <v/>
      </c>
      <c r="E26" s="12">
        <f>SUM(E5:E25)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2026-06-26T14:59:17Z</dcterms:created>
  <dcterms:modified xmlns:dcterms="http://purl.org/dc/terms/" xmlns:xsi="http://www.w3.org/2001/XMLSchema-instance" xsi:type="dcterms:W3CDTF">2026-06-26T14:59:17Z</dcterms:modified>
</cp:coreProperties>
</file>