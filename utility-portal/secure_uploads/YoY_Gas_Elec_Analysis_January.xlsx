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Yo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7FF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374151"/>
      </top>
      <bottom style="double">
        <color rgb="0037415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0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 &amp; Electricity Combined Expenses - January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'January YoY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'January YoY Analysis'!$B$5:$B$11</f>
            </numRef>
          </cat>
          <val>
            <numRef>
              <f>'January YoY Analysis'!$C$5:$C$11</f>
            </numRef>
          </val>
        </ser>
        <ser>
          <idx val="1"/>
          <order val="1"/>
          <tx>
            <strRef>
              <f>'January YoY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'January YoY Analysis'!$B$5:$B$11</f>
            </numRef>
          </cat>
          <val>
            <numRef>
              <f>'January YoY Analysis'!$D$5:$D$11</f>
            </numRef>
          </val>
        </ser>
        <ser>
          <idx val="2"/>
          <order val="2"/>
          <tx>
            <strRef>
              <f>'January YoY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'January YoY Analysis'!$B$5:$B$11</f>
            </numRef>
          </cat>
          <val>
            <numRef>
              <f>'January YoY Analysis'!$E$5:$E$11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Retail Store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Combined Expense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90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1" customWidth="1" min="3" max="3"/>
    <col width="17" customWidth="1" min="4" max="4"/>
    <col width="22" customWidth="1" min="5" max="5"/>
  </cols>
  <sheetData>
    <row r="1" ht="30" customHeight="1">
      <c r="A1" s="1" t="inlineStr">
        <is>
          <t>Year-over-Year Utility Analysis: JANUARY</t>
        </is>
      </c>
    </row>
    <row r="2" ht="20" customHeight="1">
      <c r="A2" s="2" t="inlineStr">
        <is>
          <t>Gas &amp; Electricity Combined Expenses Report</t>
        </is>
      </c>
    </row>
    <row r="3"/>
    <row r="4" ht="25" customHeight="1">
      <c r="A4" s="3" t="inlineStr">
        <is>
          <t>Store Code</t>
        </is>
      </c>
      <c r="B4" s="3" t="inlineStr">
        <is>
          <t>Store Location</t>
        </is>
      </c>
      <c r="C4" s="3" t="inlineStr">
        <is>
          <t>2024 Combined</t>
        </is>
      </c>
      <c r="D4" s="3" t="inlineStr">
        <is>
          <t>2025 Combined</t>
        </is>
      </c>
      <c r="E4" s="3" t="inlineStr">
        <is>
          <t>2026 Combined</t>
        </is>
      </c>
    </row>
    <row r="5" ht="20" customHeight="1">
      <c r="A5" s="4" t="inlineStr">
        <is>
          <t>62</t>
        </is>
      </c>
      <c r="B5" s="5" t="inlineStr">
        <is>
          <t>Richmond</t>
        </is>
      </c>
      <c r="C5" s="6" t="n">
        <v>704.13</v>
      </c>
      <c r="D5" s="6" t="n">
        <v>0</v>
      </c>
      <c r="E5" s="6" t="n">
        <v>993.6900000000001</v>
      </c>
    </row>
    <row r="6" ht="20" customHeight="1">
      <c r="A6" s="7" t="inlineStr">
        <is>
          <t>63</t>
        </is>
      </c>
      <c r="B6" s="8" t="inlineStr">
        <is>
          <t>Wilmington</t>
        </is>
      </c>
      <c r="C6" s="9" t="n">
        <v>568.14</v>
      </c>
      <c r="D6" s="9" t="n">
        <v>597.84</v>
      </c>
      <c r="E6" s="9" t="n">
        <v>582.45</v>
      </c>
    </row>
    <row r="7" ht="20" customHeight="1">
      <c r="A7" s="4" t="inlineStr">
        <is>
          <t>64</t>
        </is>
      </c>
      <c r="B7" s="5" t="inlineStr">
        <is>
          <t>Virginia Beach</t>
        </is>
      </c>
      <c r="C7" s="6" t="n">
        <v>967.55</v>
      </c>
      <c r="D7" s="6" t="n">
        <v>1078.86</v>
      </c>
      <c r="E7" s="6" t="n">
        <v>1461.1</v>
      </c>
    </row>
    <row r="8" ht="20" customHeight="1">
      <c r="A8" s="7" t="inlineStr">
        <is>
          <t>67</t>
        </is>
      </c>
      <c r="B8" s="8" t="inlineStr">
        <is>
          <t>Metairie</t>
        </is>
      </c>
      <c r="C8" s="9" t="n">
        <v>559</v>
      </c>
      <c r="D8" s="9" t="n">
        <v>1078</v>
      </c>
      <c r="E8" s="9" t="n">
        <v>0</v>
      </c>
    </row>
    <row r="9" ht="20" customHeight="1">
      <c r="A9" s="4" t="inlineStr">
        <is>
          <t>70</t>
        </is>
      </c>
      <c r="B9" s="5" t="inlineStr">
        <is>
          <t>Cincinnati</t>
        </is>
      </c>
      <c r="C9" s="6" t="n">
        <v>658.0699999999999</v>
      </c>
      <c r="D9" s="6" t="n">
        <v>624.55</v>
      </c>
      <c r="E9" s="6" t="n">
        <v>603.25</v>
      </c>
    </row>
    <row r="10" ht="20" customHeight="1">
      <c r="A10" s="7" t="inlineStr">
        <is>
          <t>82</t>
        </is>
      </c>
      <c r="B10" s="8" t="inlineStr">
        <is>
          <t>Raleigh</t>
        </is>
      </c>
      <c r="C10" s="9" t="n">
        <v>581.8</v>
      </c>
      <c r="D10" s="9" t="n">
        <v>698.63</v>
      </c>
      <c r="E10" s="9" t="n">
        <v>1045.84</v>
      </c>
    </row>
    <row r="11" ht="20" customHeight="1">
      <c r="A11" s="4" t="inlineStr">
        <is>
          <t>03</t>
        </is>
      </c>
      <c r="B11" s="5" t="inlineStr">
        <is>
          <t>Burlington</t>
        </is>
      </c>
      <c r="C11" s="6" t="n">
        <v>114.29</v>
      </c>
      <c r="D11" s="6" t="n">
        <v>169.74</v>
      </c>
      <c r="E11" s="6" t="n">
        <v>127</v>
      </c>
    </row>
    <row r="12" ht="22" customHeight="1">
      <c r="A12" s="10" t="inlineStr"/>
      <c r="B12" s="11" t="inlineStr">
        <is>
          <t>TOTAL EXPENSE</t>
        </is>
      </c>
      <c r="C12" s="12">
        <f>SUM(C5:C11)</f>
        <v/>
      </c>
      <c r="D12" s="12">
        <f>SUM(D5:D11)</f>
        <v/>
      </c>
      <c r="E12" s="12">
        <f>SUM(E5:E11)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2026-06-26T14:52:33Z</dcterms:created>
  <dcterms:modified xmlns:dcterms="http://purl.org/dc/terms/" xmlns:xsi="http://www.w3.org/2001/XMLSchema-instance" xsi:type="dcterms:W3CDTF">2026-06-26T14:52:33Z</dcterms:modified>
</cp:coreProperties>
</file>