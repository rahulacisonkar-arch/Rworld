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mc:AlternateContent xmlns:mc="http://schemas.openxmlformats.org/markup-compatibility/2006">
    <mc:Choice Requires="x15">
      <x15ac:absPath xmlns:x15ac="http://schemas.microsoft.com/office/spreadsheetml/2010/11/ac" url="C:\BACKUP14.7\EXPORT\"/>
    </mc:Choice>
  </mc:AlternateContent>
  <xr:revisionPtr revIDLastSave="0" documentId="13_ncr:1_{26F9D020-7964-4D7E-BB40-A9E1F6B03DBF}" xr6:coauthVersionLast="47" xr6:coauthVersionMax="47" xr10:uidLastSave="{00000000-0000-0000-0000-000000000000}"/>
  <bookViews>
    <workbookView xWindow="-120" yWindow="-120" windowWidth="20730" windowHeight="11160" tabRatio="673" xr2:uid="{00000000-000D-0000-FFFF-FFFF00000000}"/>
  </bookViews>
  <sheets>
    <sheet name="EXPORT INVOICE" sheetId="7" r:id="rId1"/>
    <sheet name="PACKING LIST" sheetId="8" r:id="rId2"/>
    <sheet name="ANNE 1" sheetId="9" r:id="rId3"/>
    <sheet name="ANNEXURE A" sheetId="10" r:id="rId4"/>
    <sheet name="SDF" sheetId="12" r:id="rId5"/>
    <sheet name="SLI NEW" sheetId="15" r:id="rId6"/>
    <sheet name="Sheet5" sheetId="13" r:id="rId7"/>
  </sheets>
  <externalReferences>
    <externalReference r:id="rId8"/>
  </externalReferences>
  <definedNames>
    <definedName name="_xlnm.Print_Area" localSheetId="2">'ANNE 1'!$A$1:$K$43</definedName>
    <definedName name="_xlnm.Print_Area" localSheetId="0">'EXPORT INVOICE'!$A$1:$L$56</definedName>
    <definedName name="_xlnm.Print_Area" localSheetId="1">'PACKING LIST'!$A$1:$L$72</definedName>
    <definedName name="_xlnm.Print_Area" localSheetId="5">'SLI NEW'!$B$1:$S$51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9" i="7" l="1"/>
  <c r="H28" i="7"/>
  <c r="H27" i="7"/>
  <c r="J57" i="8"/>
  <c r="H26" i="7" l="1"/>
  <c r="H57" i="8"/>
  <c r="J70" i="8"/>
  <c r="H64" i="8"/>
  <c r="H63" i="8"/>
  <c r="H62" i="8"/>
  <c r="H61" i="8"/>
  <c r="H60" i="8"/>
  <c r="J17" i="8"/>
  <c r="G17" i="8"/>
  <c r="A8" i="8"/>
  <c r="A7" i="8"/>
  <c r="A6" i="8"/>
  <c r="A5" i="8"/>
  <c r="A4" i="8"/>
  <c r="A3" i="8"/>
  <c r="L48" i="7"/>
  <c r="K48" i="7"/>
  <c r="I48" i="7"/>
  <c r="F48" i="7" l="1"/>
  <c r="G57" i="8"/>
  <c r="H48" i="7"/>
</calcChain>
</file>

<file path=xl/sharedStrings.xml><?xml version="1.0" encoding="utf-8"?>
<sst xmlns="http://schemas.openxmlformats.org/spreadsheetml/2006/main" count="535" uniqueCount="396">
  <si>
    <t>Exporter Ref.</t>
  </si>
  <si>
    <t>Other reference(s)</t>
  </si>
  <si>
    <t>Country of origin of goods</t>
  </si>
  <si>
    <t>Country of final destination</t>
  </si>
  <si>
    <t>Pre-Carriage by</t>
  </si>
  <si>
    <t>Place of Receipt by pre-carrier</t>
  </si>
  <si>
    <t xml:space="preserve"> F O B   </t>
  </si>
  <si>
    <t>Vessel / Flight No.</t>
  </si>
  <si>
    <t>Port of Loading</t>
  </si>
  <si>
    <t>Port of Discharge</t>
  </si>
  <si>
    <t>Final Destination</t>
  </si>
  <si>
    <t>Payment Terms:</t>
  </si>
  <si>
    <t xml:space="preserve"> Amount</t>
  </si>
  <si>
    <t>Declaration:</t>
  </si>
  <si>
    <t>PACKING LIST</t>
  </si>
  <si>
    <t>L ( cms )</t>
  </si>
  <si>
    <t>X</t>
  </si>
  <si>
    <t>B ( cms )</t>
  </si>
  <si>
    <t>H ( cms )</t>
  </si>
  <si>
    <t>1)</t>
  </si>
  <si>
    <t>Volumetric weight:</t>
  </si>
  <si>
    <t>Kgs</t>
  </si>
  <si>
    <t>Actual weight:</t>
  </si>
  <si>
    <t>Total Net weight</t>
  </si>
  <si>
    <t>Total Gross weight</t>
  </si>
  <si>
    <t>Terms of Delivery</t>
  </si>
  <si>
    <t>Exporter</t>
  </si>
  <si>
    <t>(USD)</t>
  </si>
  <si>
    <t>Bangalore</t>
  </si>
  <si>
    <t>S.No.</t>
  </si>
  <si>
    <t>HS Code</t>
  </si>
  <si>
    <t>Yes</t>
  </si>
  <si>
    <t>Item ID</t>
  </si>
  <si>
    <t>Net Wt.(KG)</t>
  </si>
  <si>
    <t>Quantity (Yd)</t>
  </si>
  <si>
    <t>Carton No.</t>
  </si>
  <si>
    <t>Invoice No.</t>
  </si>
  <si>
    <t>Date</t>
  </si>
  <si>
    <t>Buyer's Order No. &amp;</t>
  </si>
  <si>
    <t>Total</t>
  </si>
  <si>
    <t>Description</t>
  </si>
  <si>
    <t>Buyer</t>
  </si>
  <si>
    <t>Shipping Address</t>
  </si>
  <si>
    <t xml:space="preserve"> C &amp; F</t>
  </si>
  <si>
    <t xml:space="preserve"> C I F    </t>
  </si>
  <si>
    <t>Handling Information ( If Any )</t>
  </si>
  <si>
    <t>IFS Code:</t>
  </si>
  <si>
    <t>Name of Bank:</t>
  </si>
  <si>
    <t>described and that all particulars are true &amp; correct.</t>
  </si>
  <si>
    <t>We are here declaraed that invoice shows the actual price of goods</t>
  </si>
  <si>
    <t xml:space="preserve">Buyer's Order No. </t>
  </si>
  <si>
    <t>USA</t>
  </si>
  <si>
    <t>Buyer Name &amp; Address</t>
  </si>
  <si>
    <t>Ph. +19785679911</t>
  </si>
  <si>
    <t>India</t>
  </si>
  <si>
    <t>Taxable Amount</t>
  </si>
  <si>
    <t>(INR)</t>
  </si>
  <si>
    <t>IGST</t>
  </si>
  <si>
    <t>%</t>
  </si>
  <si>
    <t>Tax Value</t>
  </si>
  <si>
    <t>For Export</t>
  </si>
  <si>
    <t>For GSTIN</t>
  </si>
  <si>
    <t>Toatl Value After Tax</t>
  </si>
  <si>
    <t>GSTIN:</t>
  </si>
  <si>
    <t>EXPORT / TAX  INVOICE</t>
  </si>
  <si>
    <t>Account No.-</t>
  </si>
  <si>
    <t>By Air</t>
  </si>
  <si>
    <t xml:space="preserve"> Quantity (YD)</t>
  </si>
  <si>
    <t>Price</t>
  </si>
  <si>
    <t>Auth. Signatory</t>
  </si>
  <si>
    <t>Gross weight.(Kg)</t>
  </si>
  <si>
    <t>Dimension</t>
  </si>
  <si>
    <t>Width-54"</t>
  </si>
  <si>
    <t>SHREE HANUMAN TRADERS</t>
  </si>
  <si>
    <t># 11. K.R.Shettypet</t>
  </si>
  <si>
    <t>Papanna Lane</t>
  </si>
  <si>
    <t>Bangalore-560 002. </t>
  </si>
  <si>
    <t>Karnataka, INDIA</t>
  </si>
  <si>
    <t>0701014393</t>
  </si>
  <si>
    <t>29ABLPP6322N1ZZ</t>
  </si>
  <si>
    <t>T/T</t>
  </si>
  <si>
    <t xml:space="preserve">Width </t>
  </si>
  <si>
    <t>PIECE</t>
  </si>
  <si>
    <t>54"</t>
  </si>
  <si>
    <t>KARUR VYSYA BANK LTD</t>
  </si>
  <si>
    <t>1301 135 00000 7415</t>
  </si>
  <si>
    <t>KVBL0001301</t>
  </si>
  <si>
    <t>Swift Code:-</t>
  </si>
  <si>
    <t>KVBLINBBIND</t>
  </si>
  <si>
    <t>For Shree Hanuman Traders</t>
  </si>
  <si>
    <t>TOTAL</t>
  </si>
  <si>
    <t>IEC No.</t>
  </si>
  <si>
    <t>Export Value in Words (USD)</t>
  </si>
  <si>
    <t>100% Natural SILK FABRIC</t>
  </si>
  <si>
    <t>Invoice value in words (Inr)</t>
  </si>
  <si>
    <t>Annexure-1</t>
  </si>
  <si>
    <t>Exporter's Declaration Required For Exports For Availing Higher All Industries</t>
  </si>
  <si>
    <t>Rate Of Duty Drawback</t>
  </si>
  <si>
    <t>(Circular No.54/2001-Cus, dated 19th October, 2001)</t>
  </si>
  <si>
    <t>1. DESCRIPTION OF GOODS</t>
  </si>
  <si>
    <t>2. INVOICE NO. &amp; DATE</t>
  </si>
  <si>
    <t xml:space="preserve">3. NAME AND ADDRESS </t>
  </si>
  <si>
    <t>SHREE HANUMAN TRADERS</t>
  </si>
  <si>
    <t>OF THE EXPORTER ALONGWITH</t>
  </si>
  <si>
    <t>NO.11K.R.SHETTYPET</t>
  </si>
  <si>
    <t xml:space="preserve">THE NAME OF THE JURISDICTIONAL </t>
  </si>
  <si>
    <t>PAPANNA LANE</t>
  </si>
  <si>
    <t>CENTRAL EXCISE COMMISSIONERATE</t>
  </si>
  <si>
    <t>BANGALORE 560002</t>
  </si>
  <si>
    <t xml:space="preserve"> DIVISION/RANGE</t>
  </si>
  <si>
    <t xml:space="preserve">KARNATAKA </t>
  </si>
  <si>
    <t>INDIA</t>
  </si>
  <si>
    <t>4. NAME OF THE SUPPORTING</t>
  </si>
  <si>
    <t>MANUFACTURER JOB WORKS ALONG</t>
  </si>
  <si>
    <t>WITH THE NAME OF THE JURISDICTIONAL</t>
  </si>
  <si>
    <t>5. ADDRESS OF THE MFG. UNIT JOB</t>
  </si>
  <si>
    <t>WORK PREMISES</t>
  </si>
  <si>
    <r>
      <t xml:space="preserve">I M/S _SHREE HANUMAN TRADERS </t>
    </r>
    <r>
      <rPr>
        <sz val="12"/>
        <rFont val="Calibri"/>
        <family val="2"/>
      </rPr>
      <t>THE MANUFACTURING/MERCHANT EXPORTER OF ABOVE</t>
    </r>
  </si>
  <si>
    <t>MENTIONED GOODS DECLARED THAT</t>
  </si>
  <si>
    <t>A. WE ARE NOT YET REGISTERED WITH THE CENTRAL EXCISE AUTHORITIES.</t>
  </si>
  <si>
    <t>B. WE HAVE NOT PAID ANY CENTRAL EXCISE DUTY ON THESE GOODS</t>
  </si>
  <si>
    <t>C. WE HAVE NOT AVAILED OF THE CENVAT FACILITY UNDER THE CENVAT</t>
  </si>
  <si>
    <t xml:space="preserve">     CREDIT RULES 2001 OR ANY NOTIFICATION THEREUNDER AND</t>
  </si>
  <si>
    <t xml:space="preserve">D. WE HAVE NOT AUTHORISED ANY SUPPORTING MANUFACTURER </t>
  </si>
  <si>
    <t xml:space="preserve">     WORKER TO PAY EXCISE DUTY AND DISCHARGE THE LIABILITIES AND</t>
  </si>
  <si>
    <t xml:space="preserve">     COMPLY WITH PROVISIONS OF JOB CENTRAL EXCISE (NO. 2) RULES 2001</t>
  </si>
  <si>
    <t xml:space="preserve">     UNDER THE PROVISION TO RULE 4 (3) OF THE SAID RULES.</t>
  </si>
  <si>
    <t xml:space="preserve">   I ALSO UNDERTAKE IN CASE IT IS DISCOVERED THAT THE CENVAT FACILITY HAS</t>
  </si>
  <si>
    <t xml:space="preserve">   BEEN AVAILED BY US OR BY OUR SUPPORTING MANUFACTURER IN RESPECT OF</t>
  </si>
  <si>
    <t xml:space="preserve">   THESE EXPORT GOODS, WE SHALL RETURN THE EXCESS DRAWBACK PAID TO US</t>
  </si>
  <si>
    <t xml:space="preserve">   ON THE BASIS OF ABOVE DECLARATION.</t>
  </si>
  <si>
    <t>Date:</t>
  </si>
  <si>
    <t>Place:</t>
  </si>
  <si>
    <t>Annexure - A</t>
  </si>
  <si>
    <t>EXPORT VALUE DECLARATION</t>
  </si>
  <si>
    <t>[ See Rule 7 of Customs Valuation ( Determination of Value of Export Goods ) Rules, 2007. ]</t>
  </si>
  <si>
    <t>1.</t>
  </si>
  <si>
    <t>Shipping Bill No. &amp; Date :-</t>
  </si>
  <si>
    <t>2.</t>
  </si>
  <si>
    <t>Invoice No. &amp; Date :-</t>
  </si>
  <si>
    <t>3.</t>
  </si>
  <si>
    <t>Nature of Transation</t>
  </si>
  <si>
    <t>Sale</t>
  </si>
  <si>
    <t>Sale on consignment Basis</t>
  </si>
  <si>
    <t>Gift</t>
  </si>
  <si>
    <t>Sample</t>
  </si>
  <si>
    <t>Other</t>
  </si>
  <si>
    <t>4.</t>
  </si>
  <si>
    <t xml:space="preserve">Method of Valuation </t>
  </si>
  <si>
    <t>Rule 3</t>
  </si>
  <si>
    <t>Rule 4</t>
  </si>
  <si>
    <t>Rule 5</t>
  </si>
  <si>
    <t>Rule 6</t>
  </si>
  <si>
    <t>( See Export Valuation Rules )</t>
  </si>
  <si>
    <t>5.</t>
  </si>
  <si>
    <t xml:space="preserve">Whether seller and buyer </t>
  </si>
  <si>
    <t>No</t>
  </si>
  <si>
    <t>NO</t>
  </si>
  <si>
    <t>are related</t>
  </si>
  <si>
    <t>6.</t>
  </si>
  <si>
    <t xml:space="preserve">If yes, whether relationship </t>
  </si>
  <si>
    <t>has influenced the price</t>
  </si>
  <si>
    <t>7.</t>
  </si>
  <si>
    <t>Terms of Payments</t>
  </si>
  <si>
    <t>8.</t>
  </si>
  <si>
    <t>FOB</t>
  </si>
  <si>
    <t>9.</t>
  </si>
  <si>
    <t>Previous exports of identical / similar goods, if any</t>
  </si>
  <si>
    <t>Shipping Bill No. and date :</t>
  </si>
  <si>
    <t>10.</t>
  </si>
  <si>
    <t>Any other relevant information ( attach separate sheet, if necessary )</t>
  </si>
  <si>
    <t>DECLARATION</t>
  </si>
  <si>
    <t>I/We hereby declare that the information furnished above is true, complete</t>
  </si>
  <si>
    <t>and correct in every respect</t>
  </si>
  <si>
    <t>I/We also undertake to bring to the notice of officer any particulars</t>
  </si>
  <si>
    <t xml:space="preserve">witch subsequently come to my / our knowledge which will have bearing on a </t>
  </si>
  <si>
    <t>valuation.</t>
  </si>
  <si>
    <t>Place</t>
  </si>
  <si>
    <t>SHIPPER' S LETTER OF INSTRUCTIONS</t>
  </si>
  <si>
    <t>Shipper Name:</t>
  </si>
  <si>
    <t>Consignee Name:</t>
  </si>
  <si>
    <t>IE CODE NO (10 DIGIT) :</t>
  </si>
  <si>
    <t>PAN NUMBER :</t>
  </si>
  <si>
    <t>GSTIN NUMBER :</t>
  </si>
  <si>
    <t>:</t>
  </si>
  <si>
    <t>End use code</t>
  </si>
  <si>
    <t>BANK AD CODE # (PART I &amp; II) :</t>
  </si>
  <si>
    <t>INCOTERMS : F O B / C &amp; F / C &amp; I / C I F :</t>
  </si>
  <si>
    <t>FOB VALUE</t>
  </si>
  <si>
    <t>FREIGHT (IF ANY)</t>
  </si>
  <si>
    <t>INSURANCE (IF ANY)</t>
  </si>
  <si>
    <t>COMMISSION (IF ANY)</t>
  </si>
  <si>
    <t>DISCOUNT (IF ANY)</t>
  </si>
  <si>
    <t>NO. OF PKGS. :</t>
  </si>
  <si>
    <t>Special Instructon, If any</t>
  </si>
  <si>
    <t>BELOW DOCUMENTS REQUIRED WITH SHIPMENT</t>
  </si>
  <si>
    <t>FREE TRADE SAMPLE - VALUE FOR CUSTOMS - NOT FOR SALE</t>
  </si>
  <si>
    <t xml:space="preserve"> Please indicate API (As per Invoice) if any detail is mentioned in the Invoice.</t>
  </si>
  <si>
    <t xml:space="preserve"> We hereby confirm that the above details declared are true and correct.</t>
  </si>
  <si>
    <t xml:space="preserve"> We confirm that our company's IEC &amp; Bank AD Code Details </t>
  </si>
  <si>
    <t xml:space="preserve">  are registered with EDI System of Air Cargo where the clearance is being done.</t>
  </si>
  <si>
    <t>SIGNATURE OF EXPORTER/STAMP</t>
  </si>
  <si>
    <t>FORM SDF</t>
  </si>
  <si>
    <t>Shipping Bill No:</t>
  </si>
  <si>
    <t>Declaration under Foreign Exchange Regulation Act, 1973 :</t>
  </si>
  <si>
    <t>1. I/We hereby declare that I/We am/are the *SELLER/CONSIGNOR of the goods in respect of which this declaration is made and that the particulars given in the   Shipping Bill no ______________ dated ________________are true and that,</t>
  </si>
  <si>
    <t>A)* The value as contracted with the buyer is same as the full export value in the above shipping bills.</t>
  </si>
  <si>
    <t>B)* The full export value of the goods are not ascertainable at the time of export and that the value declared is that which I/We, having regard to the prevailing market conditions, accept to receive on the sale of goods in the overseas market.</t>
  </si>
  <si>
    <t>3. I/We further declares that I/We am/are resident in India and I/We have place of Business in India.</t>
  </si>
  <si>
    <t>4. I./We am/are Or am/are not in Caution list of the Reserve Bank of India.</t>
  </si>
  <si>
    <t>“DECLARATION”</t>
  </si>
  <si>
    <t xml:space="preserve">    I/We declare that the particulars given herein above are true, correct and complete. </t>
  </si>
  <si>
    <t xml:space="preserve">    I/We enclose herewith copies of the following documents*.</t>
  </si>
  <si>
    <t>1.  Duty Exemption Entitlement Certiﬁcate/ Advance Authorisation/ Duty Free Import                         Authorisation Declaration( If shipments is under DEEC Scheme)</t>
  </si>
  <si>
    <t>2. Invoice/Invoice cum packing list ( mandatory for all shipments)</t>
  </si>
  <si>
    <t xml:space="preserve">3. Quota/Inspection certificates </t>
  </si>
  <si>
    <t xml:space="preserve">4. Others (Specify)  </t>
  </si>
  <si>
    <t> Name of the Exporter:</t>
  </si>
  <si>
    <t xml:space="preserve">Name of Customs Broker: </t>
  </si>
  <si>
    <t>Designation</t>
  </si>
  <si>
    <t>Proprietor</t>
  </si>
  <si>
    <t xml:space="preserve">Designation </t>
  </si>
  <si>
    <t xml:space="preserve">Identity Card Number </t>
  </si>
  <si>
    <t xml:space="preserve">I/We undertake to abide by the provisions of Foreign Exchange Management Act, 1999, as amended from time to time, including realisation  or repatriation of foreign exchange to or from India. </t>
  </si>
  <si>
    <t>* To be submitted with the exports goods in the warehouse.</t>
  </si>
  <si>
    <t>Signature:………………………..”;</t>
  </si>
  <si>
    <t>Vashist Patodia</t>
  </si>
  <si>
    <t>ABLPP6322N</t>
  </si>
  <si>
    <r>
      <t>2. I/We undertake that I/We will deliver to the bank named here in</t>
    </r>
    <r>
      <rPr>
        <b/>
        <sz val="14"/>
        <rFont val="Calibri"/>
        <family val="2"/>
      </rPr>
      <t xml:space="preserve"> KARUR VYSYA BANK</t>
    </r>
    <r>
      <rPr>
        <sz val="14"/>
        <rFont val="Calibri"/>
        <family val="2"/>
      </rPr>
      <t xml:space="preserve"> the foreign exchange representing the full export value of the goods on or before @ ___________________ in the manner prescribed in Rule 9 of the Foreign Exchange Regulation Rules, 1974. </t>
    </r>
  </si>
  <si>
    <t xml:space="preserve"> </t>
  </si>
  <si>
    <t>ARTEE COLLECTIONS INC.</t>
  </si>
  <si>
    <t>12.06.2019</t>
  </si>
  <si>
    <t>(SHIPMENT UNDER DUTY DRAW BACK)</t>
  </si>
  <si>
    <t>Lut ARN No.</t>
  </si>
  <si>
    <t>Lut ARN Date.</t>
  </si>
  <si>
    <t>For a display in a Botanical Garden</t>
  </si>
  <si>
    <t>LVP730</t>
  </si>
  <si>
    <t>For use as Fertilizers or soil promoters</t>
  </si>
  <si>
    <t>LVP500</t>
  </si>
  <si>
    <t>For Germplasm</t>
  </si>
  <si>
    <t>LVP400</t>
  </si>
  <si>
    <t>For Propagation</t>
  </si>
  <si>
    <t>LVP100</t>
  </si>
  <si>
    <t>For Re Export</t>
  </si>
  <si>
    <t>LVA950</t>
  </si>
  <si>
    <t xml:space="preserve">For Personal use </t>
  </si>
  <si>
    <t>LVA900</t>
  </si>
  <si>
    <t>For Research Purposes</t>
  </si>
  <si>
    <t>LVA800</t>
  </si>
  <si>
    <t>For Circus or Travelling Exhibition or games or show</t>
  </si>
  <si>
    <t>LVA760</t>
  </si>
  <si>
    <t>For display in Zoo</t>
  </si>
  <si>
    <t>LVA710</t>
  </si>
  <si>
    <t>LVA500</t>
  </si>
  <si>
    <t xml:space="preserve">For Immediate Slaughter </t>
  </si>
  <si>
    <t>LVA400</t>
  </si>
  <si>
    <t>For re-introduction into the wild</t>
  </si>
  <si>
    <t>LVA300</t>
  </si>
  <si>
    <t>For Grow-Out or Increase</t>
  </si>
  <si>
    <t>LVA200</t>
  </si>
  <si>
    <t>For Breeding in Captivity or Artificial Propagation</t>
  </si>
  <si>
    <t>LVA100</t>
  </si>
  <si>
    <t>For display as a Trophy (hunting or other trophy)</t>
  </si>
  <si>
    <t>GNX915</t>
  </si>
  <si>
    <t>For Medical Or Biomedical Research</t>
  </si>
  <si>
    <t>GNX815</t>
  </si>
  <si>
    <t>For Research &amp; Development (note: other than Biomedical Research)</t>
  </si>
  <si>
    <t>GNX810</t>
  </si>
  <si>
    <t>For Public Display or Exhibition</t>
  </si>
  <si>
    <t>GNX700</t>
  </si>
  <si>
    <t>For Disposal as waste</t>
  </si>
  <si>
    <t>GNX680</t>
  </si>
  <si>
    <t>For Recycling or Recovery</t>
  </si>
  <si>
    <t>GNX650</t>
  </si>
  <si>
    <t>For Repair or Refurbishing as defective or second hand goods</t>
  </si>
  <si>
    <t>GNX600</t>
  </si>
  <si>
    <t>GNX300</t>
  </si>
  <si>
    <r>
      <t xml:space="preserve">For Commercial Assembly or processing (For </t>
    </r>
    <r>
      <rPr>
        <b/>
        <sz val="11"/>
        <color indexed="8"/>
        <rFont val="Calibri"/>
        <family val="2"/>
      </rPr>
      <t>Manufacture/Actual use</t>
    </r>
    <r>
      <rPr>
        <sz val="11"/>
        <color indexed="8"/>
        <rFont val="Calibri"/>
        <family val="2"/>
      </rPr>
      <t>)</t>
    </r>
  </si>
  <si>
    <t>GNX200</t>
  </si>
  <si>
    <r>
      <t xml:space="preserve">For Consumer use under commercial distribution (for </t>
    </r>
    <r>
      <rPr>
        <b/>
        <sz val="11"/>
        <color indexed="8"/>
        <rFont val="Calibri"/>
        <family val="2"/>
      </rPr>
      <t>Trading -</t>
    </r>
    <r>
      <rPr>
        <sz val="11"/>
        <color indexed="8"/>
        <rFont val="Calibri"/>
        <family val="2"/>
      </rPr>
      <t xml:space="preserve"> wholesale or retail)</t>
    </r>
  </si>
  <si>
    <t>GNX100</t>
  </si>
  <si>
    <t>For use in a Diplomatic Establishment</t>
  </si>
  <si>
    <t>FSH930</t>
  </si>
  <si>
    <t>For Charitable Use</t>
  </si>
  <si>
    <t>FSH920</t>
  </si>
  <si>
    <t>For distribution in a natural disaster (if received gratis)</t>
  </si>
  <si>
    <t>FSH910</t>
  </si>
  <si>
    <t>For personal consumption</t>
  </si>
  <si>
    <t>FSH900</t>
  </si>
  <si>
    <t>For Research Use</t>
  </si>
  <si>
    <t>FSH800</t>
  </si>
  <si>
    <t>For use in International Sports Events</t>
  </si>
  <si>
    <t>FSH750</t>
  </si>
  <si>
    <t>FSH700</t>
  </si>
  <si>
    <t>For Internal use in Hotels-Restaurant</t>
  </si>
  <si>
    <r>
      <t>For manufacture/ commercial Processing (</t>
    </r>
    <r>
      <rPr>
        <b/>
        <sz val="11"/>
        <color indexed="8"/>
        <rFont val="Calibri"/>
        <family val="2"/>
      </rPr>
      <t>Manufacture/Actual Use</t>
    </r>
    <r>
      <rPr>
        <sz val="11"/>
        <color indexed="8"/>
        <rFont val="Calibri"/>
        <family val="2"/>
      </rPr>
      <t>)</t>
    </r>
  </si>
  <si>
    <t>FSH200</t>
  </si>
  <si>
    <r>
      <t>For Consumer use under commercial distribution (</t>
    </r>
    <r>
      <rPr>
        <b/>
        <sz val="11"/>
        <color indexed="8"/>
        <rFont val="Calibri"/>
        <family val="2"/>
      </rPr>
      <t>Trading</t>
    </r>
    <r>
      <rPr>
        <sz val="11"/>
        <color indexed="8"/>
        <rFont val="Calibri"/>
        <family val="2"/>
      </rPr>
      <t>)- Retail or wholsale</t>
    </r>
  </si>
  <si>
    <t>FSH100</t>
  </si>
  <si>
    <t>FSA900</t>
  </si>
  <si>
    <t>For use research use as animal Food</t>
  </si>
  <si>
    <t>FSA800</t>
  </si>
  <si>
    <r>
      <t xml:space="preserve">For manufacture/processing as a Animal Food/Feed </t>
    </r>
    <r>
      <rPr>
        <b/>
        <sz val="11"/>
        <color indexed="8"/>
        <rFont val="Calibri"/>
        <family val="2"/>
      </rPr>
      <t>(Manufacture/Actual Use</t>
    </r>
    <r>
      <rPr>
        <sz val="11"/>
        <color indexed="8"/>
        <rFont val="Calibri"/>
        <family val="2"/>
      </rPr>
      <t>)</t>
    </r>
  </si>
  <si>
    <t>FSA200</t>
  </si>
  <si>
    <r>
      <t>For Animal Food or Feed (</t>
    </r>
    <r>
      <rPr>
        <b/>
        <sz val="11"/>
        <color indexed="8"/>
        <rFont val="Calibri"/>
        <family val="2"/>
      </rPr>
      <t>Trading</t>
    </r>
    <r>
      <rPr>
        <sz val="11"/>
        <color indexed="8"/>
        <rFont val="Calibri"/>
        <family val="2"/>
      </rPr>
      <t>/ commercial distribution)</t>
    </r>
  </si>
  <si>
    <t>FSA100</t>
  </si>
  <si>
    <t>For  personal consumption</t>
  </si>
  <si>
    <t>DCX900</t>
  </si>
  <si>
    <r>
      <t xml:space="preserve">For manufacture/processing as a human or veterinary medicine </t>
    </r>
    <r>
      <rPr>
        <b/>
        <sz val="11"/>
        <color indexed="8"/>
        <rFont val="Calibri"/>
        <family val="2"/>
      </rPr>
      <t>(Manufacture/Actual Use</t>
    </r>
    <r>
      <rPr>
        <sz val="11"/>
        <color indexed="8"/>
        <rFont val="Calibri"/>
        <family val="2"/>
      </rPr>
      <t>)</t>
    </r>
  </si>
  <si>
    <t>DCX200</t>
  </si>
  <si>
    <t>For Research use a human medicine</t>
  </si>
  <si>
    <t>DCH800</t>
  </si>
  <si>
    <t>For Human Medical Use as a Non-Food Product under Controlled Distribution</t>
  </si>
  <si>
    <t>DCH400</t>
  </si>
  <si>
    <t>For Human Medical Use as a Transplanted Organ, Tissue, or Fluid</t>
  </si>
  <si>
    <t>DCH300</t>
  </si>
  <si>
    <r>
      <t xml:space="preserve">For Human Medical Use as a Non-Food Product under Controlled Distribution </t>
    </r>
    <r>
      <rPr>
        <b/>
        <sz val="11"/>
        <color indexed="8"/>
        <rFont val="Calibri"/>
        <family val="2"/>
      </rPr>
      <t>(Trading)</t>
    </r>
  </si>
  <si>
    <t>DCH100</t>
  </si>
  <si>
    <r>
      <t xml:space="preserve">For Veterinary Medical Use as a Non-Food Product under Controlled Distribution </t>
    </r>
    <r>
      <rPr>
        <b/>
        <sz val="11"/>
        <color indexed="8"/>
        <rFont val="Calibri"/>
        <family val="2"/>
      </rPr>
      <t>(Trading)</t>
    </r>
  </si>
  <si>
    <t>DCA100</t>
  </si>
  <si>
    <t>EU_Desc</t>
  </si>
  <si>
    <t>EU_code</t>
  </si>
  <si>
    <t>Refer to below end use description and add the code in SLI for reference</t>
  </si>
  <si>
    <t>End Use Code</t>
  </si>
  <si>
    <t>* LC (Letter of Credit) Shipments are not handled by DHL</t>
  </si>
  <si>
    <t xml:space="preserve">In forwarding this document, I/We authorize DHL Express (India) Pvt. Ltd. (‘DHL’), its group companies and their agents, to act as our agent to clear this Shipment from Customs and also give our consent to sign, submit and file in physical or digitally, the e-way bill / shipping bill and other forms, as and when required, under various statutes to authorities for undertaking the Shipment on our behalf.  </t>
  </si>
  <si>
    <t>6. PHYTOSANITARY CERT</t>
  </si>
  <si>
    <t>3. NON-DG DECLARATION</t>
  </si>
  <si>
    <t>8. LETTER TO DC</t>
  </si>
  <si>
    <t xml:space="preserve">5. MSDS </t>
  </si>
  <si>
    <t>2. PACKING LIST (4 COPIES)</t>
  </si>
  <si>
    <t>7. VISA/AEPC ENDORSEMENT</t>
  </si>
  <si>
    <t>4. LAB ANALYSIS REPORT</t>
  </si>
  <si>
    <t>1. INVOICE (4 COPIES)</t>
  </si>
  <si>
    <t>Please TICK &amp; LIST the documents provided to DHL with the shipment :</t>
  </si>
  <si>
    <t>ORGINAL B/E, IMP INV/PKG LIST/GR WAIVER ON GR FORM,CHARTERED ENGG CERTIFICATE, EXPORT INV/PKG LIST</t>
  </si>
  <si>
    <t>H) REPAIR &amp; RETURN</t>
  </si>
  <si>
    <t>NO ADDITIONAL DOCUMENTS REQUIRED.</t>
  </si>
  <si>
    <t>G) ROSL (Rebate of State Levies)</t>
  </si>
  <si>
    <t>REGN NO. &amp; DT OF ADV LIC, COPY OF LIC / REGN COPY,CONSUMPTION SHEET</t>
  </si>
  <si>
    <t>F) ADVANCE LICENCE SHIPPING BILL</t>
  </si>
  <si>
    <t>REGN NO. &amp; DT OF EPCG LIC, COPY OF EPCG LIC / REGN COPY</t>
  </si>
  <si>
    <t>E) EPCG SHIPPING BILL</t>
  </si>
  <si>
    <t>DBK SL NO</t>
  </si>
  <si>
    <t>D) DUTY DRAWBACK</t>
  </si>
  <si>
    <t>ANNEXURE C1</t>
  </si>
  <si>
    <t>C) EOU SHIPPING BILL</t>
  </si>
  <si>
    <t>B) DUTY FREE COMMERCIAL</t>
  </si>
  <si>
    <t>A) FREE TRADE SAMPLE (NON-COMM)</t>
  </si>
  <si>
    <t>TYPE OF SHIPPING BILL ( TICK MARK)</t>
  </si>
  <si>
    <t>GROSS WT. :</t>
  </si>
  <si>
    <t>NET WT. :</t>
  </si>
  <si>
    <t xml:space="preserve">NATURE OF PAYMENT * : D P / D A / A P </t>
  </si>
  <si>
    <t>MEIS Benefit  (Shipper need to mention complete MEIS description on SLI and on export invoice).</t>
  </si>
  <si>
    <t>C ) Export Against Payment - IGST Rate, IGST amount and Taxable amount item wise required in INR on export invoice.</t>
  </si>
  <si>
    <t>B ) LUT- Export Under Bond. (Copy of valid LUT Required)</t>
  </si>
  <si>
    <t>A ) NOT APPLICABLE (Valid Reason to be provided)</t>
  </si>
  <si>
    <t>IGST Payment Status (Mandatory to TICK MARK from below option (A, B or C) in front of column provided :</t>
  </si>
  <si>
    <t>IEC BRANCH CODE :</t>
  </si>
  <si>
    <t>DHL AIRWAY BILL (AWB) :</t>
  </si>
  <si>
    <t>Invoice Date</t>
  </si>
  <si>
    <t>F O B</t>
  </si>
  <si>
    <t>SHIPMENT IS UNDER DUTY DRAWBACK SCHEME</t>
  </si>
  <si>
    <t>Ph: 080 41243916/9845244410</t>
  </si>
  <si>
    <t>Commercial Shipment.</t>
  </si>
  <si>
    <t>YES</t>
  </si>
  <si>
    <t>SAE-PARD-OYS</t>
  </si>
  <si>
    <t>Artee Fabrics and Home</t>
  </si>
  <si>
    <t>14 Highland Commons East Near TJ Maxx</t>
  </si>
  <si>
    <t>Hudson MA 01749</t>
  </si>
  <si>
    <t>E/019</t>
  </si>
  <si>
    <t>SDP-AGRA-PLA</t>
  </si>
  <si>
    <t>SDP-AGRA-133</t>
  </si>
  <si>
    <t>SDC-DIXE-AQU</t>
  </si>
  <si>
    <t>SDP-AGRA-063</t>
  </si>
  <si>
    <t>SDP-AGRA-CHC</t>
  </si>
  <si>
    <t>SDP-AGRA-OYS</t>
  </si>
  <si>
    <t>2)</t>
  </si>
  <si>
    <t>3)</t>
  </si>
  <si>
    <t>4)</t>
  </si>
  <si>
    <t>SDP-AGRA-064</t>
  </si>
  <si>
    <t>SDP-AGRA-GDT</t>
  </si>
  <si>
    <t>SDP-AGRA-SHA</t>
  </si>
  <si>
    <t>SDP-AGRA-STN</t>
  </si>
  <si>
    <t>SDP-AGRA-MDN</t>
  </si>
  <si>
    <t>SDP-AGRA-PEW</t>
  </si>
  <si>
    <t>SDP-NAGR-AQU</t>
  </si>
  <si>
    <t>SDP-AGRA-043</t>
  </si>
  <si>
    <t>100% NATURAL SILK FABRIC</t>
  </si>
  <si>
    <t>ADVANCE</t>
  </si>
  <si>
    <t>14434.80 USD</t>
  </si>
  <si>
    <t>Hudson</t>
  </si>
  <si>
    <t>FOURTEEN THOUSAND FOUR HUNDRED THIRTY FOUR AND EIGHTY CENTS ONLY.</t>
  </si>
  <si>
    <t>Nhava Sheva</t>
  </si>
  <si>
    <t xml:space="preserve">AD290823023955O </t>
  </si>
  <si>
    <t>Date …27/8/2023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</si>
</sst>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409]d\-mmm\-yy;@"/>
    <numFmt numFmtId="167" formatCode="0.000"/>
    <numFmt numFmtId="168" formatCode="[$-409]d/mmm/yy;@"/>
  </numFmts>
  <fonts count="50">
    <font>
      <sz val="10"/>
      <name val="Arial"/>
    </font>
    <font>
      <sz val="10"/>
      <name val="Arial"/>
    </font>
    <font>
      <u/>
      <sz val="10"/>
      <color indexed="12"/>
      <name val="Arial"/>
      <family val="2"/>
    </font>
    <font>
      <sz val="10"/>
      <name val="Arial"/>
      <family val="2"/>
    </font>
    <font>
      <b/>
      <sz val="12"/>
      <color indexed="18"/>
      <name val="Arial"/>
      <family val="2"/>
    </font>
    <font>
      <b/>
      <sz val="12"/>
      <name val="Arial"/>
      <family val="2"/>
    </font>
    <font>
      <sz val="10"/>
      <name val="Calibri"/>
      <family val="2"/>
    </font>
    <font>
      <sz val="11"/>
      <name val="Calibri"/>
      <family val="2"/>
    </font>
    <font>
      <b/>
      <sz val="14"/>
      <name val="Calibri"/>
      <family val="2"/>
    </font>
    <font>
      <sz val="12"/>
      <name val="Calibri"/>
      <family val="2"/>
    </font>
    <font>
      <b/>
      <u/>
      <sz val="14"/>
      <name val="Arial"/>
      <family val="2"/>
    </font>
    <font>
      <b/>
      <sz val="10"/>
      <name val="Arial"/>
      <family val="2"/>
    </font>
    <font>
      <sz val="11"/>
      <name val="Arial"/>
      <family val="2"/>
    </font>
    <font>
      <b/>
      <sz val="11"/>
      <name val="Arial"/>
      <family val="2"/>
    </font>
    <font>
      <b/>
      <u/>
      <sz val="11"/>
      <name val="Arial"/>
      <family val="2"/>
    </font>
    <font>
      <b/>
      <sz val="11"/>
      <color indexed="18"/>
      <name val="Arial"/>
      <family val="2"/>
    </font>
    <font>
      <b/>
      <sz val="10"/>
      <color indexed="18"/>
      <name val="Arial"/>
      <family val="2"/>
    </font>
    <font>
      <b/>
      <sz val="9"/>
      <color indexed="18"/>
      <name val="Arial"/>
      <family val="2"/>
    </font>
    <font>
      <sz val="12"/>
      <color indexed="18"/>
      <name val="Arial"/>
      <family val="2"/>
    </font>
    <font>
      <sz val="10"/>
      <color indexed="18"/>
      <name val="Arial"/>
      <family val="2"/>
    </font>
    <font>
      <sz val="12"/>
      <name val="Arial"/>
      <family val="2"/>
    </font>
    <font>
      <b/>
      <sz val="20"/>
      <color indexed="12"/>
      <name val="Arial"/>
      <family val="2"/>
    </font>
    <font>
      <b/>
      <sz val="9"/>
      <name val="Arial"/>
      <family val="2"/>
    </font>
    <font>
      <b/>
      <sz val="12"/>
      <color indexed="12"/>
      <name val="Arial"/>
      <family val="2"/>
    </font>
    <font>
      <i/>
      <sz val="10"/>
      <name val="Arial"/>
      <family val="2"/>
    </font>
    <font>
      <u/>
      <sz val="10"/>
      <name val="Arial"/>
      <family val="2"/>
    </font>
    <font>
      <b/>
      <sz val="14"/>
      <color indexed="8"/>
      <name val="Frutiger 55 Roman"/>
      <family val="2"/>
    </font>
    <font>
      <sz val="14"/>
      <name val="Calibri"/>
      <family val="2"/>
    </font>
    <font>
      <b/>
      <sz val="12"/>
      <name val="Times New Roman"/>
      <family val="1"/>
    </font>
    <font>
      <sz val="12"/>
      <name val="Times New Roman"/>
      <family val="1"/>
    </font>
    <font>
      <sz val="11"/>
      <color indexed="8"/>
      <name val="Calibri"/>
      <family val="2"/>
    </font>
    <font>
      <b/>
      <sz val="11"/>
      <color indexed="8"/>
      <name val="Calibri"/>
      <family val="2"/>
    </font>
    <font>
      <sz val="10"/>
      <name val="Frutiger 55 Roman"/>
      <family val="2"/>
    </font>
    <font>
      <b/>
      <sz val="10"/>
      <name val="Frutiger 55 Roman"/>
      <family val="2"/>
    </font>
    <font>
      <sz val="11"/>
      <color theme="1"/>
      <name val="Calibri"/>
      <family val="2"/>
      <scheme val="minor"/>
    </font>
    <font>
      <b/>
      <sz val="11"/>
      <color theme="3"/>
      <name val="Calibri"/>
      <family val="2"/>
      <scheme val="minor"/>
    </font>
    <font>
      <u/>
      <sz val="11"/>
      <color theme="10"/>
      <name val="Calibri"/>
      <family val="2"/>
    </font>
    <font>
      <b/>
      <sz val="11"/>
      <color theme="1"/>
      <name val="Calibri"/>
      <family val="2"/>
      <scheme val="minor"/>
    </font>
    <font>
      <sz val="11"/>
      <name val="Calibri"/>
      <family val="2"/>
      <scheme val="minor"/>
    </font>
    <font>
      <b/>
      <sz val="11"/>
      <name val="Calibri"/>
      <family val="2"/>
      <scheme val="minor"/>
    </font>
    <font>
      <sz val="11"/>
      <color theme="3"/>
      <name val="Calibri"/>
      <family val="2"/>
      <scheme val="minor"/>
    </font>
    <font>
      <b/>
      <sz val="12"/>
      <name val="Calibri"/>
      <family val="2"/>
      <scheme val="minor"/>
    </font>
    <font>
      <sz val="12"/>
      <name val="Calibri"/>
      <family val="2"/>
      <scheme val="minor"/>
    </font>
    <font>
      <b/>
      <sz val="11"/>
      <color theme="3"/>
      <name val="Arial"/>
      <family val="2"/>
    </font>
    <font>
      <sz val="14"/>
      <name val="Calibri"/>
      <family val="2"/>
      <scheme val="minor"/>
    </font>
    <font>
      <b/>
      <sz val="10"/>
      <name val="Calibri"/>
      <family val="2"/>
      <scheme val="minor"/>
    </font>
    <font>
      <sz val="14"/>
      <color theme="1"/>
      <name val="Calibri"/>
      <family val="2"/>
      <scheme val="minor"/>
    </font>
    <font>
      <sz val="10"/>
      <name val="Calibri"/>
      <family val="2"/>
      <scheme val="minor"/>
    </font>
    <font>
      <b/>
      <sz val="14"/>
      <name val="Calibri"/>
      <family val="2"/>
      <scheme val="minor"/>
    </font>
    <font>
      <sz val="9"/>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s>
  <borders count="73">
    <border>
      <left/>
      <right/>
      <top/>
      <bottom/>
      <diagonal/>
    </border>
    <border>
      <left/>
      <right/>
      <top style="medium">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7">
    <xf numFmtId="0" fontId="0" fillId="0" borderId="0"/>
    <xf numFmtId="165" fontId="1" fillId="0" borderId="0" applyFont="0" applyFill="0" applyBorder="0" applyAlignment="0" applyProtection="0"/>
    <xf numFmtId="164" fontId="1" fillId="0" borderId="0" applyFont="0" applyFill="0" applyBorder="0" applyAlignment="0" applyProtection="0"/>
    <xf numFmtId="0" fontId="2"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4" fillId="0" borderId="0"/>
    <xf numFmtId="9" fontId="1" fillId="0" borderId="0" applyFont="0" applyFill="0" applyBorder="0" applyAlignment="0" applyProtection="0"/>
  </cellStyleXfs>
  <cellXfs count="571">
    <xf numFmtId="0" fontId="0" fillId="0" borderId="0" xfId="0"/>
    <xf numFmtId="0" fontId="38" fillId="0" borderId="0" xfId="0" applyFont="1"/>
    <xf numFmtId="0" fontId="38" fillId="0" borderId="1" xfId="0" applyFont="1" applyBorder="1"/>
    <xf numFmtId="0" fontId="38" fillId="0" borderId="2" xfId="0" applyFont="1" applyBorder="1" applyAlignment="1">
      <alignment horizontal="left"/>
    </xf>
    <xf numFmtId="0" fontId="38" fillId="0" borderId="3" xfId="0" applyFont="1" applyBorder="1"/>
    <xf numFmtId="0" fontId="38" fillId="0" borderId="4" xfId="0" applyFont="1" applyBorder="1"/>
    <xf numFmtId="0" fontId="38" fillId="0" borderId="5" xfId="0" applyFont="1" applyBorder="1"/>
    <xf numFmtId="0" fontId="39" fillId="0" borderId="2" xfId="0" applyFont="1" applyBorder="1"/>
    <xf numFmtId="0" fontId="38" fillId="0" borderId="8" xfId="0" applyFont="1" applyBorder="1"/>
    <xf numFmtId="0" fontId="38" fillId="0" borderId="9" xfId="0" applyFont="1" applyBorder="1"/>
    <xf numFmtId="0" fontId="38" fillId="0" borderId="10" xfId="0" applyFont="1" applyBorder="1"/>
    <xf numFmtId="0" fontId="38" fillId="0" borderId="2" xfId="0" applyFont="1" applyBorder="1"/>
    <xf numFmtId="0" fontId="38" fillId="0" borderId="11" xfId="0" applyFont="1" applyBorder="1"/>
    <xf numFmtId="0" fontId="38" fillId="0" borderId="12" xfId="0" applyFont="1" applyBorder="1"/>
    <xf numFmtId="0" fontId="40" fillId="0" borderId="13" xfId="0" applyFont="1" applyBorder="1" applyAlignment="1">
      <alignment horizontal="center"/>
    </xf>
    <xf numFmtId="0" fontId="0" fillId="0" borderId="10" xfId="0" applyBorder="1"/>
    <xf numFmtId="0" fontId="0" fillId="0" borderId="14" xfId="0" applyBorder="1"/>
    <xf numFmtId="0" fontId="38" fillId="0" borderId="15" xfId="0" applyFont="1" applyBorder="1"/>
    <xf numFmtId="2" fontId="38" fillId="0" borderId="0" xfId="0" applyNumberFormat="1" applyFont="1" applyAlignment="1">
      <alignment horizontal="center"/>
    </xf>
    <xf numFmtId="0" fontId="39" fillId="0" borderId="16" xfId="0" applyFont="1" applyBorder="1"/>
    <xf numFmtId="0" fontId="39" fillId="0" borderId="18" xfId="0" applyFont="1" applyBorder="1"/>
    <xf numFmtId="0" fontId="39" fillId="0" borderId="6" xfId="0" applyFont="1" applyBorder="1"/>
    <xf numFmtId="0" fontId="39" fillId="0" borderId="19" xfId="0" applyFont="1" applyBorder="1"/>
    <xf numFmtId="0" fontId="39" fillId="0" borderId="7" xfId="0" applyFont="1" applyBorder="1"/>
    <xf numFmtId="0" fontId="39" fillId="0" borderId="20" xfId="0" applyFont="1" applyBorder="1" applyAlignment="1">
      <alignment horizontal="center"/>
    </xf>
    <xf numFmtId="0" fontId="39" fillId="0" borderId="21" xfId="0" applyFont="1" applyBorder="1" applyAlignment="1">
      <alignment horizontal="center"/>
    </xf>
    <xf numFmtId="0" fontId="39" fillId="0" borderId="22" xfId="0" applyFont="1" applyBorder="1" applyAlignment="1">
      <alignment horizontal="center"/>
    </xf>
    <xf numFmtId="0" fontId="39" fillId="0" borderId="0" xfId="0" applyFont="1"/>
    <xf numFmtId="0" fontId="39" fillId="0" borderId="2" xfId="0" applyFont="1" applyBorder="1" applyAlignment="1">
      <alignment horizontal="center" vertical="center"/>
    </xf>
    <xf numFmtId="0" fontId="39" fillId="0" borderId="23" xfId="0" applyFont="1" applyBorder="1" applyAlignment="1">
      <alignment horizontal="center"/>
    </xf>
    <xf numFmtId="0" fontId="38" fillId="0" borderId="24" xfId="0" applyFont="1" applyBorder="1"/>
    <xf numFmtId="0" fontId="39" fillId="0" borderId="25" xfId="0" applyFont="1" applyBorder="1" applyAlignment="1">
      <alignment horizontal="center"/>
    </xf>
    <xf numFmtId="0" fontId="39" fillId="0" borderId="26" xfId="0" applyFont="1" applyBorder="1" applyAlignment="1">
      <alignment horizontal="center"/>
    </xf>
    <xf numFmtId="0" fontId="40" fillId="0" borderId="3" xfId="0" applyFont="1" applyBorder="1" applyAlignment="1">
      <alignment horizontal="center"/>
    </xf>
    <xf numFmtId="0" fontId="39" fillId="0" borderId="27" xfId="0" applyFont="1" applyBorder="1" applyAlignment="1">
      <alignment horizontal="center" wrapText="1"/>
    </xf>
    <xf numFmtId="0" fontId="39" fillId="0" borderId="28" xfId="0" applyFont="1" applyBorder="1" applyAlignment="1">
      <alignment horizontal="center" wrapText="1"/>
    </xf>
    <xf numFmtId="0" fontId="39" fillId="0" borderId="3" xfId="0" applyFont="1" applyBorder="1"/>
    <xf numFmtId="0" fontId="39" fillId="0" borderId="10" xfId="0" applyFont="1" applyBorder="1"/>
    <xf numFmtId="0" fontId="40" fillId="0" borderId="29" xfId="0" applyFont="1" applyBorder="1" applyAlignment="1">
      <alignment horizontal="center"/>
    </xf>
    <xf numFmtId="164" fontId="38" fillId="0" borderId="30" xfId="2" applyFont="1" applyBorder="1"/>
    <xf numFmtId="164" fontId="38" fillId="0" borderId="28" xfId="2" applyFont="1" applyBorder="1"/>
    <xf numFmtId="164" fontId="38" fillId="0" borderId="31" xfId="2" applyFont="1" applyBorder="1"/>
    <xf numFmtId="164" fontId="38" fillId="0" borderId="10" xfId="2" applyFont="1" applyBorder="1"/>
    <xf numFmtId="9" fontId="35" fillId="0" borderId="32" xfId="6" applyFont="1" applyBorder="1" applyAlignment="1">
      <alignment horizontal="center"/>
    </xf>
    <xf numFmtId="9" fontId="40" fillId="0" borderId="19" xfId="6" applyFont="1" applyBorder="1" applyAlignment="1">
      <alignment horizontal="center"/>
    </xf>
    <xf numFmtId="9" fontId="35" fillId="0" borderId="19" xfId="6" applyFont="1" applyBorder="1" applyAlignment="1">
      <alignment horizontal="center"/>
    </xf>
    <xf numFmtId="165" fontId="35" fillId="0" borderId="33" xfId="1" applyFont="1" applyBorder="1" applyAlignment="1">
      <alignment horizontal="center"/>
    </xf>
    <xf numFmtId="165" fontId="40" fillId="0" borderId="3" xfId="1" applyFont="1" applyBorder="1" applyAlignment="1">
      <alignment horizontal="center"/>
    </xf>
    <xf numFmtId="165" fontId="35" fillId="0" borderId="3" xfId="1" applyFont="1" applyBorder="1" applyAlignment="1">
      <alignment horizontal="center"/>
    </xf>
    <xf numFmtId="165" fontId="35" fillId="0" borderId="30" xfId="1" applyFont="1" applyBorder="1" applyAlignment="1">
      <alignment horizontal="center"/>
    </xf>
    <xf numFmtId="165" fontId="40" fillId="0" borderId="31" xfId="1" applyFont="1" applyBorder="1" applyAlignment="1">
      <alignment horizontal="center"/>
    </xf>
    <xf numFmtId="165" fontId="35" fillId="0" borderId="31" xfId="1" applyFont="1" applyBorder="1" applyAlignment="1">
      <alignment horizontal="center"/>
    </xf>
    <xf numFmtId="165" fontId="38" fillId="0" borderId="28" xfId="1" applyFont="1" applyBorder="1"/>
    <xf numFmtId="165" fontId="38" fillId="0" borderId="10" xfId="1" applyFont="1" applyBorder="1"/>
    <xf numFmtId="0" fontId="38" fillId="0" borderId="15" xfId="0" applyFont="1" applyBorder="1" applyAlignment="1">
      <alignment horizontal="left"/>
    </xf>
    <xf numFmtId="1" fontId="39" fillId="0" borderId="20" xfId="0" applyNumberFormat="1" applyFont="1" applyBorder="1"/>
    <xf numFmtId="0" fontId="38" fillId="0" borderId="34" xfId="0" applyFont="1" applyBorder="1" applyAlignment="1">
      <alignment horizontal="left"/>
    </xf>
    <xf numFmtId="0" fontId="39" fillId="0" borderId="14" xfId="0" applyFont="1" applyBorder="1"/>
    <xf numFmtId="0" fontId="40" fillId="0" borderId="30" xfId="0" applyFont="1" applyBorder="1" applyAlignment="1">
      <alignment horizontal="center"/>
    </xf>
    <xf numFmtId="2" fontId="38" fillId="0" borderId="30" xfId="0" applyNumberFormat="1" applyFont="1" applyBorder="1"/>
    <xf numFmtId="0" fontId="40" fillId="0" borderId="31" xfId="0" applyFont="1" applyBorder="1" applyAlignment="1">
      <alignment horizontal="center"/>
    </xf>
    <xf numFmtId="2" fontId="38" fillId="0" borderId="31" xfId="0" applyNumberFormat="1" applyFont="1" applyBorder="1"/>
    <xf numFmtId="0" fontId="40" fillId="0" borderId="35" xfId="0" applyFont="1" applyBorder="1" applyAlignment="1">
      <alignment horizontal="center"/>
    </xf>
    <xf numFmtId="0" fontId="40" fillId="0" borderId="36" xfId="0" applyFont="1" applyBorder="1" applyAlignment="1">
      <alignment horizontal="center"/>
    </xf>
    <xf numFmtId="2" fontId="38" fillId="0" borderId="36" xfId="0" applyNumberFormat="1" applyFont="1" applyBorder="1"/>
    <xf numFmtId="164" fontId="38" fillId="0" borderId="36" xfId="2" applyFont="1" applyBorder="1"/>
    <xf numFmtId="164" fontId="38" fillId="0" borderId="37" xfId="2" applyFont="1" applyBorder="1"/>
    <xf numFmtId="165" fontId="35" fillId="0" borderId="5" xfId="1" applyFont="1" applyBorder="1" applyAlignment="1">
      <alignment horizontal="center"/>
    </xf>
    <xf numFmtId="9" fontId="35" fillId="0" borderId="8" xfId="6" applyFont="1" applyBorder="1" applyAlignment="1">
      <alignment horizontal="center"/>
    </xf>
    <xf numFmtId="165" fontId="35" fillId="0" borderId="36" xfId="1" applyFont="1" applyBorder="1" applyAlignment="1">
      <alignment horizontal="center"/>
    </xf>
    <xf numFmtId="165" fontId="38" fillId="0" borderId="37" xfId="1" applyFont="1" applyBorder="1"/>
    <xf numFmtId="0" fontId="38" fillId="0" borderId="4" xfId="0" applyFont="1" applyBorder="1" applyAlignment="1">
      <alignment vertical="center"/>
    </xf>
    <xf numFmtId="0" fontId="38" fillId="0" borderId="37" xfId="0" applyFont="1" applyBorder="1" applyAlignment="1">
      <alignment vertical="center"/>
    </xf>
    <xf numFmtId="0" fontId="38" fillId="0" borderId="0" xfId="0" applyFont="1" applyAlignment="1">
      <alignment horizontal="center" vertical="center"/>
    </xf>
    <xf numFmtId="0" fontId="38" fillId="0" borderId="5" xfId="0" applyFont="1" applyBorder="1" applyAlignment="1">
      <alignment vertical="center"/>
    </xf>
    <xf numFmtId="0" fontId="38" fillId="0" borderId="0" xfId="0" applyFont="1" applyAlignment="1">
      <alignment vertical="center"/>
    </xf>
    <xf numFmtId="0" fontId="38" fillId="0" borderId="10" xfId="0" applyFont="1" applyBorder="1" applyAlignment="1">
      <alignment vertical="center"/>
    </xf>
    <xf numFmtId="2" fontId="38" fillId="0" borderId="0" xfId="0" applyNumberFormat="1" applyFont="1" applyAlignment="1">
      <alignment vertical="center"/>
    </xf>
    <xf numFmtId="0" fontId="38" fillId="0" borderId="18" xfId="0" applyFont="1" applyBorder="1" applyAlignment="1">
      <alignment vertical="center"/>
    </xf>
    <xf numFmtId="0" fontId="38" fillId="0" borderId="19" xfId="0" applyFont="1" applyBorder="1" applyAlignment="1">
      <alignment vertical="center"/>
    </xf>
    <xf numFmtId="0" fontId="38" fillId="0" borderId="41" xfId="0" applyFont="1" applyBorder="1" applyAlignment="1">
      <alignment vertical="center"/>
    </xf>
    <xf numFmtId="0" fontId="38" fillId="0" borderId="12" xfId="0" applyFont="1" applyBorder="1" applyAlignment="1">
      <alignment vertical="center"/>
    </xf>
    <xf numFmtId="0" fontId="38" fillId="0" borderId="14" xfId="0" applyFont="1" applyBorder="1" applyAlignment="1">
      <alignment horizontal="right" vertical="center"/>
    </xf>
    <xf numFmtId="1" fontId="38" fillId="0" borderId="42" xfId="0" applyNumberFormat="1" applyFont="1" applyBorder="1" applyAlignment="1">
      <alignment horizontal="left"/>
    </xf>
    <xf numFmtId="0" fontId="38" fillId="0" borderId="8" xfId="0" quotePrefix="1" applyFont="1" applyBorder="1"/>
    <xf numFmtId="0" fontId="40" fillId="0" borderId="2" xfId="0" applyFont="1" applyBorder="1" applyAlignment="1">
      <alignment horizontal="center"/>
    </xf>
    <xf numFmtId="0" fontId="39" fillId="0" borderId="17" xfId="0" applyFont="1" applyBorder="1" applyAlignment="1">
      <alignment horizontal="left"/>
    </xf>
    <xf numFmtId="0" fontId="39" fillId="0" borderId="1" xfId="0" applyFont="1" applyBorder="1" applyAlignment="1">
      <alignment horizontal="left" vertical="center"/>
    </xf>
    <xf numFmtId="0" fontId="39" fillId="0" borderId="1" xfId="0" applyFont="1" applyBorder="1"/>
    <xf numFmtId="0" fontId="38" fillId="0" borderId="0" xfId="0" quotePrefix="1" applyFont="1"/>
    <xf numFmtId="0" fontId="39" fillId="0" borderId="0" xfId="0" applyFont="1" applyAlignment="1">
      <alignment vertical="center"/>
    </xf>
    <xf numFmtId="0" fontId="39" fillId="0" borderId="43" xfId="0" applyFont="1" applyBorder="1"/>
    <xf numFmtId="0" fontId="38" fillId="0" borderId="44" xfId="0" applyFont="1" applyBorder="1"/>
    <xf numFmtId="0" fontId="39" fillId="0" borderId="44" xfId="0" applyFont="1" applyBorder="1"/>
    <xf numFmtId="0" fontId="38" fillId="0" borderId="45" xfId="0" applyFont="1" applyBorder="1"/>
    <xf numFmtId="167" fontId="38" fillId="0" borderId="0" xfId="0" applyNumberFormat="1" applyFont="1" applyAlignment="1">
      <alignment vertical="center"/>
    </xf>
    <xf numFmtId="0" fontId="41" fillId="0" borderId="10" xfId="0" applyFont="1" applyBorder="1" applyAlignment="1">
      <alignment horizontal="right" vertical="top"/>
    </xf>
    <xf numFmtId="0" fontId="39" fillId="0" borderId="12" xfId="0" applyFont="1" applyBorder="1"/>
    <xf numFmtId="0" fontId="41" fillId="0" borderId="12" xfId="0" applyFont="1" applyBorder="1" applyAlignment="1">
      <alignment horizontal="right"/>
    </xf>
    <xf numFmtId="0" fontId="41" fillId="0" borderId="14" xfId="0" applyFont="1" applyBorder="1" applyAlignment="1">
      <alignment horizontal="right"/>
    </xf>
    <xf numFmtId="2" fontId="39" fillId="4" borderId="31" xfId="0" applyNumberFormat="1" applyFont="1" applyFill="1" applyBorder="1"/>
    <xf numFmtId="164" fontId="39" fillId="4" borderId="31" xfId="2" applyFont="1" applyFill="1" applyBorder="1"/>
    <xf numFmtId="164" fontId="39" fillId="4" borderId="10" xfId="2" applyFont="1" applyFill="1" applyBorder="1"/>
    <xf numFmtId="167" fontId="38" fillId="0" borderId="0" xfId="0" applyNumberFormat="1" applyFont="1" applyAlignment="1">
      <alignment horizontal="center"/>
    </xf>
    <xf numFmtId="0" fontId="42" fillId="0" borderId="2" xfId="0" applyFont="1" applyBorder="1"/>
    <xf numFmtId="0" fontId="42" fillId="0" borderId="0" xfId="0" applyFont="1"/>
    <xf numFmtId="0" fontId="42" fillId="0" borderId="10" xfId="0" applyFont="1" applyBorder="1"/>
    <xf numFmtId="0" fontId="41" fillId="0" borderId="4" xfId="0" applyFont="1" applyBorder="1"/>
    <xf numFmtId="0" fontId="42" fillId="0" borderId="4" xfId="0" applyFont="1" applyBorder="1"/>
    <xf numFmtId="0" fontId="42" fillId="0" borderId="37" xfId="0" applyFont="1" applyBorder="1"/>
    <xf numFmtId="15" fontId="42" fillId="0" borderId="0" xfId="0" applyNumberFormat="1" applyFont="1"/>
    <xf numFmtId="0" fontId="42" fillId="0" borderId="0" xfId="0" applyFont="1" applyAlignment="1">
      <alignment horizontal="right"/>
    </xf>
    <xf numFmtId="0" fontId="42" fillId="0" borderId="10" xfId="0" applyFont="1" applyBorder="1" applyAlignment="1">
      <alignment horizontal="right"/>
    </xf>
    <xf numFmtId="0" fontId="42" fillId="0" borderId="0" xfId="0" applyFont="1" applyAlignment="1">
      <alignment horizontal="left"/>
    </xf>
    <xf numFmtId="0" fontId="42" fillId="0" borderId="11" xfId="0" applyFont="1" applyBorder="1"/>
    <xf numFmtId="0" fontId="42" fillId="0" borderId="12" xfId="0" applyFont="1" applyBorder="1"/>
    <xf numFmtId="0" fontId="42" fillId="0" borderId="14" xfId="0" applyFont="1" applyBorder="1"/>
    <xf numFmtId="49" fontId="0" fillId="0" borderId="2" xfId="0" applyNumberFormat="1" applyBorder="1"/>
    <xf numFmtId="49" fontId="13" fillId="0" borderId="2" xfId="0" applyNumberFormat="1" applyFont="1" applyBorder="1"/>
    <xf numFmtId="0" fontId="13" fillId="0" borderId="0" xfId="0" applyFont="1"/>
    <xf numFmtId="0" fontId="13" fillId="0" borderId="10" xfId="0" applyFont="1" applyBorder="1"/>
    <xf numFmtId="0" fontId="43" fillId="0" borderId="0" xfId="0" applyFont="1"/>
    <xf numFmtId="0" fontId="43" fillId="0" borderId="15" xfId="0" applyFont="1" applyBorder="1" applyAlignment="1">
      <alignment horizontal="center"/>
    </xf>
    <xf numFmtId="0" fontId="13" fillId="0" borderId="0" xfId="0" applyFont="1" applyAlignment="1">
      <alignment horizontal="center"/>
    </xf>
    <xf numFmtId="0" fontId="13" fillId="0" borderId="15" xfId="0" applyFont="1" applyBorder="1"/>
    <xf numFmtId="49" fontId="12" fillId="0" borderId="2" xfId="0" applyNumberFormat="1" applyFont="1" applyBorder="1"/>
    <xf numFmtId="0" fontId="12" fillId="0" borderId="0" xfId="0" applyFont="1"/>
    <xf numFmtId="0" fontId="12" fillId="0" borderId="10" xfId="0" applyFont="1" applyBorder="1"/>
    <xf numFmtId="0" fontId="11" fillId="0" borderId="0" xfId="0" applyFont="1"/>
    <xf numFmtId="0" fontId="16" fillId="0" borderId="0" xfId="0" applyFont="1"/>
    <xf numFmtId="0" fontId="42" fillId="0" borderId="10" xfId="0" applyFont="1" applyBorder="1" applyAlignment="1">
      <alignment horizontal="right" vertical="top"/>
    </xf>
    <xf numFmtId="0" fontId="17" fillId="0" borderId="0" xfId="0" applyFont="1"/>
    <xf numFmtId="0" fontId="18" fillId="0" borderId="10" xfId="0" applyFont="1" applyBorder="1"/>
    <xf numFmtId="166" fontId="11" fillId="0" borderId="0" xfId="0" applyNumberFormat="1" applyFont="1" applyAlignment="1">
      <alignment horizontal="left"/>
    </xf>
    <xf numFmtId="0" fontId="19" fillId="0" borderId="0" xfId="0" applyFont="1"/>
    <xf numFmtId="0" fontId="20" fillId="0" borderId="10" xfId="0" applyFont="1" applyBorder="1"/>
    <xf numFmtId="49" fontId="0" fillId="0" borderId="11" xfId="0" applyNumberFormat="1" applyBorder="1"/>
    <xf numFmtId="0" fontId="0" fillId="0" borderId="12" xfId="0" applyBorder="1"/>
    <xf numFmtId="0" fontId="25" fillId="0" borderId="1" xfId="0" applyFont="1" applyBorder="1"/>
    <xf numFmtId="0" fontId="25" fillId="0" borderId="47" xfId="0" applyFont="1" applyBorder="1"/>
    <xf numFmtId="0" fontId="3" fillId="0" borderId="2" xfId="0" applyFont="1" applyBorder="1"/>
    <xf numFmtId="0" fontId="44" fillId="0" borderId="15" xfId="0" applyFont="1" applyBorder="1"/>
    <xf numFmtId="0" fontId="44" fillId="0" borderId="2" xfId="0" applyFont="1" applyBorder="1"/>
    <xf numFmtId="0" fontId="44" fillId="0" borderId="0" xfId="0" applyFont="1"/>
    <xf numFmtId="0" fontId="44" fillId="0" borderId="10" xfId="0" applyFont="1" applyBorder="1"/>
    <xf numFmtId="0" fontId="44" fillId="0" borderId="10" xfId="0" applyFont="1" applyBorder="1" applyAlignment="1">
      <alignment horizontal="right" vertical="top"/>
    </xf>
    <xf numFmtId="0" fontId="44" fillId="0" borderId="10" xfId="0" applyFont="1" applyBorder="1" applyAlignment="1">
      <alignment horizontal="right"/>
    </xf>
    <xf numFmtId="0" fontId="0" fillId="0" borderId="2" xfId="0" applyBorder="1"/>
    <xf numFmtId="0" fontId="0" fillId="0" borderId="11" xfId="0" applyBorder="1"/>
    <xf numFmtId="0" fontId="29" fillId="0" borderId="0" xfId="0" applyFont="1" applyAlignment="1">
      <alignment horizontal="center" vertical="center"/>
    </xf>
    <xf numFmtId="0" fontId="29" fillId="0" borderId="0" xfId="0" applyFont="1" applyAlignment="1">
      <alignment vertical="center"/>
    </xf>
    <xf numFmtId="0" fontId="29" fillId="0" borderId="0" xfId="0" applyFont="1" applyAlignment="1">
      <alignment horizontal="justify" vertical="center"/>
    </xf>
    <xf numFmtId="0" fontId="29" fillId="0" borderId="47" xfId="0" applyFont="1" applyBorder="1" applyAlignment="1">
      <alignment horizontal="justify" vertical="center" wrapText="1"/>
    </xf>
    <xf numFmtId="0" fontId="29" fillId="0" borderId="48" xfId="0" applyFont="1" applyBorder="1" applyAlignment="1">
      <alignment horizontal="justify" vertical="center" wrapText="1"/>
    </xf>
    <xf numFmtId="0" fontId="29" fillId="0" borderId="45" xfId="0" applyFont="1" applyBorder="1" applyAlignment="1">
      <alignment horizontal="justify" vertical="center" wrapText="1"/>
    </xf>
    <xf numFmtId="0" fontId="29" fillId="0" borderId="14" xfId="0" applyFont="1" applyBorder="1" applyAlignment="1">
      <alignment horizontal="justify" vertical="center" wrapText="1"/>
    </xf>
    <xf numFmtId="0" fontId="7" fillId="0" borderId="14" xfId="0" applyFont="1" applyBorder="1" applyAlignment="1">
      <alignment vertical="top" wrapText="1"/>
    </xf>
    <xf numFmtId="0" fontId="25" fillId="0" borderId="0" xfId="0" applyFont="1"/>
    <xf numFmtId="0" fontId="3" fillId="0" borderId="0" xfId="0" applyFont="1"/>
    <xf numFmtId="0" fontId="3" fillId="0" borderId="0" xfId="0" applyFont="1" applyAlignment="1">
      <alignment horizontal="right"/>
    </xf>
    <xf numFmtId="0" fontId="3" fillId="2" borderId="0" xfId="0" applyFont="1" applyFill="1"/>
    <xf numFmtId="0" fontId="3" fillId="0" borderId="0" xfId="0" applyFont="1" applyAlignment="1">
      <alignment vertical="center"/>
    </xf>
    <xf numFmtId="14" fontId="38" fillId="0" borderId="0" xfId="0" applyNumberFormat="1" applyFont="1"/>
    <xf numFmtId="15" fontId="38" fillId="0" borderId="5" xfId="0" applyNumberFormat="1" applyFont="1" applyBorder="1" applyAlignment="1">
      <alignment horizontal="left"/>
    </xf>
    <xf numFmtId="0" fontId="39" fillId="0" borderId="12" xfId="3" applyFont="1" applyBorder="1" applyAlignment="1" applyProtection="1"/>
    <xf numFmtId="0" fontId="39" fillId="0" borderId="14" xfId="3" applyFont="1" applyBorder="1" applyAlignment="1" applyProtection="1"/>
    <xf numFmtId="0" fontId="39" fillId="0" borderId="9" xfId="0" applyFont="1" applyBorder="1"/>
    <xf numFmtId="0" fontId="39" fillId="0" borderId="8" xfId="0" applyFont="1" applyBorder="1"/>
    <xf numFmtId="0" fontId="39" fillId="0" borderId="49" xfId="0" applyFont="1" applyBorder="1" applyAlignment="1">
      <alignment horizontal="left"/>
    </xf>
    <xf numFmtId="0" fontId="39" fillId="0" borderId="50" xfId="0" applyFont="1" applyBorder="1" applyAlignment="1">
      <alignment horizontal="left"/>
    </xf>
    <xf numFmtId="165" fontId="35" fillId="0" borderId="10" xfId="1" applyFont="1" applyBorder="1" applyAlignment="1">
      <alignment horizontal="center"/>
    </xf>
    <xf numFmtId="0" fontId="41" fillId="0" borderId="0" xfId="0" applyFont="1" applyAlignment="1">
      <alignment horizontal="right" vertical="top"/>
    </xf>
    <xf numFmtId="0" fontId="4" fillId="0" borderId="0" xfId="0" applyFont="1"/>
    <xf numFmtId="0" fontId="5" fillId="0" borderId="0" xfId="0" applyFont="1"/>
    <xf numFmtId="0" fontId="45" fillId="0" borderId="39" xfId="0" applyFont="1" applyBorder="1" applyAlignment="1">
      <alignment horizontal="left" vertical="center"/>
    </xf>
    <xf numFmtId="0" fontId="45" fillId="0" borderId="20" xfId="0" applyFont="1" applyBorder="1" applyAlignment="1">
      <alignment horizontal="left" vertical="center"/>
    </xf>
    <xf numFmtId="0" fontId="39" fillId="0" borderId="0" xfId="0" applyFont="1" applyAlignment="1">
      <alignment horizontal="left"/>
    </xf>
    <xf numFmtId="0" fontId="39" fillId="0" borderId="15" xfId="0" applyFont="1" applyBorder="1" applyAlignment="1">
      <alignment horizontal="left"/>
    </xf>
    <xf numFmtId="0" fontId="38" fillId="0" borderId="10" xfId="0" applyFont="1" applyBorder="1" applyAlignment="1">
      <alignment horizontal="left"/>
    </xf>
    <xf numFmtId="0" fontId="32" fillId="0" borderId="0" xfId="0" applyFont="1"/>
    <xf numFmtId="0" fontId="34" fillId="0" borderId="15" xfId="5" applyBorder="1" applyAlignment="1">
      <alignment horizontal="left" vertical="top" wrapText="1"/>
    </xf>
    <xf numFmtId="0" fontId="38" fillId="0" borderId="15" xfId="5" applyFont="1" applyBorder="1"/>
    <xf numFmtId="0" fontId="34" fillId="0" borderId="15" xfId="5" applyBorder="1" applyAlignment="1">
      <alignment horizontal="center"/>
    </xf>
    <xf numFmtId="0" fontId="37" fillId="0" borderId="15" xfId="5" applyFont="1" applyBorder="1" applyAlignment="1">
      <alignment horizontal="center"/>
    </xf>
    <xf numFmtId="0" fontId="46" fillId="4" borderId="15" xfId="5" applyFont="1" applyFill="1" applyBorder="1"/>
    <xf numFmtId="0" fontId="3" fillId="2" borderId="4" xfId="0" applyFont="1" applyFill="1" applyBorder="1"/>
    <xf numFmtId="0" fontId="5" fillId="2" borderId="8" xfId="0" applyFont="1" applyFill="1" applyBorder="1"/>
    <xf numFmtId="0" fontId="3" fillId="2" borderId="19" xfId="0" applyFont="1" applyFill="1" applyBorder="1"/>
    <xf numFmtId="0" fontId="3" fillId="0" borderId="3" xfId="0" applyFont="1" applyBorder="1" applyAlignment="1">
      <alignment vertical="center"/>
    </xf>
    <xf numFmtId="0" fontId="3" fillId="0" borderId="3" xfId="0" applyFont="1" applyBorder="1"/>
    <xf numFmtId="0" fontId="3" fillId="0" borderId="19" xfId="0" applyFont="1" applyBorder="1"/>
    <xf numFmtId="0" fontId="3" fillId="0" borderId="33" xfId="0" applyFont="1" applyBorder="1"/>
    <xf numFmtId="0" fontId="3" fillId="0" borderId="32" xfId="0" applyFont="1" applyBorder="1"/>
    <xf numFmtId="0" fontId="3" fillId="0" borderId="15" xfId="0" applyFont="1" applyBorder="1" applyAlignment="1">
      <alignment horizontal="left"/>
    </xf>
    <xf numFmtId="0" fontId="13" fillId="5" borderId="0" xfId="0" applyFont="1" applyFill="1" applyAlignment="1">
      <alignment horizontal="center"/>
    </xf>
    <xf numFmtId="0" fontId="0" fillId="5" borderId="53" xfId="0" applyFill="1" applyBorder="1"/>
    <xf numFmtId="0" fontId="0" fillId="5" borderId="54" xfId="0" applyFill="1" applyBorder="1"/>
    <xf numFmtId="0" fontId="12" fillId="5" borderId="55" xfId="0" applyFont="1" applyFill="1" applyBorder="1" applyAlignment="1">
      <alignment horizontal="center"/>
    </xf>
    <xf numFmtId="0" fontId="13" fillId="5" borderId="1" xfId="0" applyFont="1" applyFill="1" applyBorder="1" applyAlignment="1">
      <alignment horizontal="center"/>
    </xf>
    <xf numFmtId="0" fontId="33" fillId="0" borderId="15" xfId="0" applyFont="1" applyBorder="1"/>
    <xf numFmtId="0" fontId="11" fillId="0" borderId="43" xfId="0" applyFont="1" applyBorder="1" applyAlignment="1">
      <alignment horizontal="left" vertical="center"/>
    </xf>
    <xf numFmtId="0" fontId="3" fillId="0" borderId="2" xfId="3" applyFont="1" applyBorder="1" applyAlignment="1" applyProtection="1"/>
    <xf numFmtId="0" fontId="38" fillId="0" borderId="53" xfId="0" applyFont="1" applyBorder="1"/>
    <xf numFmtId="0" fontId="38" fillId="0" borderId="0" xfId="0" applyFont="1" applyAlignment="1">
      <alignment horizontal="center"/>
    </xf>
    <xf numFmtId="0" fontId="39" fillId="0" borderId="51" xfId="0" applyFont="1" applyBorder="1" applyAlignment="1">
      <alignment horizontal="center"/>
    </xf>
    <xf numFmtId="0" fontId="39" fillId="0" borderId="52" xfId="0" applyFont="1" applyBorder="1" applyAlignment="1">
      <alignment horizontal="center"/>
    </xf>
    <xf numFmtId="0" fontId="39" fillId="0" borderId="3" xfId="0" applyFont="1" applyBorder="1" applyAlignment="1">
      <alignment horizontal="left"/>
    </xf>
    <xf numFmtId="0" fontId="39" fillId="0" borderId="6" xfId="0" applyFont="1" applyBorder="1" applyAlignment="1">
      <alignment horizontal="left"/>
    </xf>
    <xf numFmtId="0" fontId="39" fillId="0" borderId="2" xfId="0" applyFont="1" applyBorder="1" applyAlignment="1">
      <alignment horizontal="left"/>
    </xf>
    <xf numFmtId="0" fontId="39" fillId="0" borderId="1" xfId="0" applyFont="1" applyBorder="1" applyAlignment="1">
      <alignment horizontal="left"/>
    </xf>
    <xf numFmtId="0" fontId="41" fillId="0" borderId="17" xfId="0" applyFont="1" applyBorder="1" applyAlignment="1">
      <alignment horizontal="center"/>
    </xf>
    <xf numFmtId="14" fontId="38" fillId="0" borderId="2" xfId="0" applyNumberFormat="1" applyFont="1" applyBorder="1" applyAlignment="1">
      <alignment horizontal="left"/>
    </xf>
    <xf numFmtId="14" fontId="38" fillId="0" borderId="0" xfId="0" applyNumberFormat="1" applyFont="1" applyAlignment="1">
      <alignment horizontal="left"/>
    </xf>
    <xf numFmtId="0" fontId="38" fillId="0" borderId="2" xfId="0" applyFont="1" applyBorder="1" applyAlignment="1">
      <alignment horizontal="center"/>
    </xf>
    <xf numFmtId="0" fontId="39" fillId="0" borderId="8" xfId="0" applyFont="1" applyBorder="1" applyAlignment="1">
      <alignment vertical="center"/>
    </xf>
    <xf numFmtId="0" fontId="7" fillId="0" borderId="40" xfId="0" applyFont="1" applyBorder="1" applyAlignment="1">
      <alignment horizontal="center"/>
    </xf>
    <xf numFmtId="0" fontId="38" fillId="0" borderId="46" xfId="0" applyFont="1" applyBorder="1" applyAlignment="1">
      <alignment horizontal="center"/>
    </xf>
    <xf numFmtId="0" fontId="38" fillId="0" borderId="21" xfId="0" applyFont="1" applyBorder="1" applyAlignment="1">
      <alignment horizontal="center"/>
    </xf>
    <xf numFmtId="2" fontId="6" fillId="0" borderId="15" xfId="0" applyNumberFormat="1" applyFont="1" applyBorder="1" applyAlignment="1">
      <alignment horizontal="center"/>
    </xf>
    <xf numFmtId="167" fontId="6" fillId="0" borderId="15" xfId="0" applyNumberFormat="1" applyFont="1" applyBorder="1" applyAlignment="1">
      <alignment horizontal="center" vertical="center"/>
    </xf>
    <xf numFmtId="167" fontId="0" fillId="0" borderId="0" xfId="0" applyNumberFormat="1"/>
    <xf numFmtId="0" fontId="7" fillId="0" borderId="19" xfId="0" applyFont="1" applyBorder="1" applyAlignment="1">
      <alignment vertical="center"/>
    </xf>
    <xf numFmtId="0" fontId="7" fillId="0" borderId="10" xfId="0" applyFont="1" applyBorder="1" applyAlignment="1">
      <alignment vertical="center"/>
    </xf>
    <xf numFmtId="0" fontId="6" fillId="0" borderId="36" xfId="0" applyFont="1" applyBorder="1" applyAlignment="1">
      <alignment horizontal="center"/>
    </xf>
    <xf numFmtId="167" fontId="39" fillId="0" borderId="21" xfId="0" applyNumberFormat="1" applyFont="1" applyBorder="1" applyAlignment="1">
      <alignment horizontal="center"/>
    </xf>
    <xf numFmtId="2" fontId="39" fillId="0" borderId="21" xfId="0" applyNumberFormat="1" applyFont="1" applyBorder="1" applyAlignment="1">
      <alignment horizontal="center"/>
    </xf>
    <xf numFmtId="0" fontId="41" fillId="0" borderId="1" xfId="0" applyFont="1" applyBorder="1" applyAlignment="1">
      <alignment horizontal="center"/>
    </xf>
    <xf numFmtId="0" fontId="41" fillId="0" borderId="28" xfId="0" applyFont="1" applyBorder="1" applyAlignment="1">
      <alignment horizontal="center"/>
    </xf>
    <xf numFmtId="0" fontId="39" fillId="0" borderId="3" xfId="0" applyFont="1" applyBorder="1" applyAlignment="1">
      <alignment vertical="center"/>
    </xf>
    <xf numFmtId="0" fontId="39" fillId="0" borderId="19" xfId="0" applyFont="1" applyBorder="1" applyAlignment="1">
      <alignment vertical="center"/>
    </xf>
    <xf numFmtId="0" fontId="39" fillId="0" borderId="10" xfId="0" applyFont="1" applyBorder="1" applyAlignment="1">
      <alignment vertical="center"/>
    </xf>
    <xf numFmtId="0" fontId="41" fillId="0" borderId="17" xfId="0" applyFont="1" applyBorder="1"/>
    <xf numFmtId="0" fontId="38" fillId="0" borderId="1" xfId="0" applyFont="1" applyBorder="1" applyAlignment="1">
      <alignment vertical="center"/>
    </xf>
    <xf numFmtId="0" fontId="0" fillId="0" borderId="1" xfId="0" applyBorder="1"/>
    <xf numFmtId="0" fontId="38" fillId="0" borderId="28" xfId="0" applyFont="1" applyBorder="1" applyAlignment="1">
      <alignment vertical="center"/>
    </xf>
    <xf numFmtId="0" fontId="38" fillId="0" borderId="14" xfId="0" applyFont="1" applyBorder="1" applyAlignment="1">
      <alignment vertical="center"/>
    </xf>
    <xf numFmtId="0" fontId="38" fillId="0" borderId="28" xfId="0" applyFont="1" applyBorder="1"/>
    <xf numFmtId="0" fontId="39" fillId="0" borderId="16" xfId="0" applyFont="1" applyBorder="1" applyAlignment="1">
      <alignment horizontal="left"/>
    </xf>
    <xf numFmtId="1" fontId="6" fillId="0" borderId="31" xfId="0" applyNumberFormat="1" applyFont="1" applyBorder="1" applyAlignment="1">
      <alignment vertical="center"/>
    </xf>
    <xf numFmtId="167" fontId="6" fillId="0" borderId="31" xfId="0" applyNumberFormat="1" applyFont="1" applyBorder="1" applyAlignment="1">
      <alignment vertical="center"/>
    </xf>
    <xf numFmtId="167" fontId="6" fillId="0" borderId="36" xfId="0" applyNumberFormat="1" applyFont="1" applyBorder="1" applyAlignment="1">
      <alignment horizontal="center" vertical="center"/>
    </xf>
    <xf numFmtId="167" fontId="47" fillId="0" borderId="36" xfId="0" applyNumberFormat="1" applyFont="1" applyBorder="1" applyAlignment="1">
      <alignment horizontal="center"/>
    </xf>
    <xf numFmtId="167" fontId="47" fillId="0" borderId="15" xfId="0" applyNumberFormat="1" applyFont="1" applyBorder="1" applyAlignment="1">
      <alignment horizontal="center"/>
    </xf>
    <xf numFmtId="2" fontId="6" fillId="0" borderId="20" xfId="0" applyNumberFormat="1" applyFont="1" applyBorder="1" applyAlignment="1">
      <alignment horizontal="center" vertical="center"/>
    </xf>
    <xf numFmtId="167" fontId="6" fillId="0" borderId="20" xfId="0" applyNumberFormat="1" applyFont="1" applyBorder="1" applyAlignment="1">
      <alignment horizontal="center" vertical="center"/>
    </xf>
    <xf numFmtId="2" fontId="47" fillId="0" borderId="36" xfId="0" applyNumberFormat="1" applyFont="1" applyBorder="1" applyAlignment="1">
      <alignment horizontal="center"/>
    </xf>
    <xf numFmtId="2" fontId="47" fillId="0" borderId="15" xfId="0" applyNumberFormat="1" applyFont="1" applyBorder="1" applyAlignment="1">
      <alignment horizontal="center"/>
    </xf>
    <xf numFmtId="2" fontId="47" fillId="0" borderId="21" xfId="0" applyNumberFormat="1" applyFont="1" applyBorder="1" applyAlignment="1">
      <alignment horizontal="center"/>
    </xf>
    <xf numFmtId="167" fontId="47" fillId="0" borderId="21" xfId="0" applyNumberFormat="1" applyFont="1" applyBorder="1" applyAlignment="1">
      <alignment horizontal="center"/>
    </xf>
    <xf numFmtId="0" fontId="7" fillId="0" borderId="0" xfId="0" applyFont="1" applyAlignment="1">
      <alignment vertical="center"/>
    </xf>
    <xf numFmtId="2" fontId="6" fillId="0" borderId="36" xfId="0" applyNumberFormat="1" applyFont="1" applyBorder="1" applyAlignment="1">
      <alignment horizontal="center"/>
    </xf>
    <xf numFmtId="0" fontId="6" fillId="0" borderId="20" xfId="0" applyFont="1" applyBorder="1" applyAlignment="1">
      <alignment horizontal="center"/>
    </xf>
    <xf numFmtId="2" fontId="6" fillId="0" borderId="20" xfId="0" applyNumberFormat="1" applyFont="1" applyBorder="1" applyAlignment="1">
      <alignment horizontal="center"/>
    </xf>
    <xf numFmtId="0" fontId="7" fillId="0" borderId="46" xfId="0" applyFont="1" applyBorder="1" applyAlignment="1">
      <alignment horizontal="center"/>
    </xf>
    <xf numFmtId="0" fontId="6" fillId="0" borderId="61" xfId="0" applyFont="1" applyBorder="1" applyAlignment="1">
      <alignment horizontal="center"/>
    </xf>
    <xf numFmtId="2" fontId="6" fillId="0" borderId="21" xfId="0" applyNumberFormat="1" applyFont="1" applyBorder="1" applyAlignment="1">
      <alignment horizontal="center"/>
    </xf>
    <xf numFmtId="167" fontId="6" fillId="0" borderId="21" xfId="0" applyNumberFormat="1" applyFont="1" applyBorder="1" applyAlignment="1">
      <alignment horizontal="center" vertical="center"/>
    </xf>
    <xf numFmtId="0" fontId="7" fillId="0" borderId="35" xfId="0" applyFont="1" applyBorder="1" applyAlignment="1">
      <alignment horizontal="center"/>
    </xf>
    <xf numFmtId="167" fontId="6" fillId="0" borderId="36" xfId="0" applyNumberFormat="1" applyFont="1" applyBorder="1" applyAlignment="1">
      <alignment horizontal="center"/>
    </xf>
    <xf numFmtId="0" fontId="39" fillId="0" borderId="49" xfId="0" applyFont="1" applyBorder="1" applyAlignment="1">
      <alignment vertical="center"/>
    </xf>
    <xf numFmtId="0" fontId="39" fillId="0" borderId="71" xfId="0" applyFont="1" applyBorder="1" applyAlignment="1">
      <alignment horizontal="center" vertical="center"/>
    </xf>
    <xf numFmtId="0" fontId="39" fillId="0" borderId="71"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0" xfId="0" applyFont="1" applyAlignment="1">
      <alignment horizontal="center" vertical="center"/>
    </xf>
    <xf numFmtId="0" fontId="39" fillId="0" borderId="10" xfId="0" applyFont="1" applyBorder="1" applyAlignment="1">
      <alignment horizontal="center" vertical="center"/>
    </xf>
    <xf numFmtId="0" fontId="38" fillId="0" borderId="21" xfId="0" applyFont="1" applyBorder="1" applyAlignment="1">
      <alignment horizontal="center" vertical="center"/>
    </xf>
    <xf numFmtId="0" fontId="38" fillId="0" borderId="19" xfId="0" applyFont="1" applyBorder="1" applyAlignment="1">
      <alignment horizontal="center"/>
    </xf>
    <xf numFmtId="0" fontId="38" fillId="0" borderId="0" xfId="0" applyFont="1" applyAlignment="1">
      <alignment horizontal="center"/>
    </xf>
    <xf numFmtId="0" fontId="38" fillId="0" borderId="3" xfId="0" applyFont="1" applyBorder="1" applyAlignment="1">
      <alignment horizontal="center"/>
    </xf>
    <xf numFmtId="0" fontId="39" fillId="0" borderId="19" xfId="0" applyFont="1" applyBorder="1" applyAlignment="1">
      <alignment horizontal="center"/>
    </xf>
    <xf numFmtId="0" fontId="39" fillId="0" borderId="0" xfId="0" applyFont="1" applyAlignment="1">
      <alignment horizontal="center"/>
    </xf>
    <xf numFmtId="0" fontId="39" fillId="0" borderId="10" xfId="0" applyFont="1" applyBorder="1" applyAlignment="1">
      <alignment horizontal="center"/>
    </xf>
    <xf numFmtId="0" fontId="39" fillId="0" borderId="8" xfId="0" applyFont="1" applyBorder="1" applyAlignment="1">
      <alignment horizontal="center"/>
    </xf>
    <xf numFmtId="0" fontId="39" fillId="0" borderId="4" xfId="0" applyFont="1" applyBorder="1" applyAlignment="1">
      <alignment horizontal="center"/>
    </xf>
    <xf numFmtId="0" fontId="39" fillId="0" borderId="37" xfId="0" applyFont="1" applyBorder="1" applyAlignment="1">
      <alignment horizontal="center"/>
    </xf>
    <xf numFmtId="0" fontId="39" fillId="0" borderId="9" xfId="0" applyFont="1" applyBorder="1" applyAlignment="1">
      <alignment horizontal="left"/>
    </xf>
    <xf numFmtId="0" fontId="39" fillId="0" borderId="4" xfId="0" applyFont="1" applyBorder="1" applyAlignment="1">
      <alignment horizontal="left"/>
    </xf>
    <xf numFmtId="0" fontId="49" fillId="0" borderId="19" xfId="0" applyFont="1" applyBorder="1" applyAlignment="1">
      <alignment horizontal="center"/>
    </xf>
    <xf numFmtId="0" fontId="49" fillId="0" borderId="0" xfId="0" applyFont="1" applyAlignment="1">
      <alignment horizontal="center"/>
    </xf>
    <xf numFmtId="0" fontId="49" fillId="0" borderId="3" xfId="0" applyFont="1" applyBorder="1" applyAlignment="1">
      <alignment horizontal="center"/>
    </xf>
    <xf numFmtId="0" fontId="39" fillId="0" borderId="32" xfId="0" applyFont="1" applyBorder="1" applyAlignment="1">
      <alignment horizontal="center" vertical="center"/>
    </xf>
    <xf numFmtId="0" fontId="39" fillId="0" borderId="1" xfId="0" applyFont="1" applyBorder="1" applyAlignment="1">
      <alignment horizontal="center" vertical="center"/>
    </xf>
    <xf numFmtId="0" fontId="39" fillId="0" borderId="41" xfId="0" applyFont="1" applyBorder="1" applyAlignment="1">
      <alignment horizontal="center" vertical="center"/>
    </xf>
    <xf numFmtId="0" fontId="39" fillId="0" borderId="12" xfId="0" applyFont="1" applyBorder="1" applyAlignment="1">
      <alignment horizontal="center" vertical="center"/>
    </xf>
    <xf numFmtId="0" fontId="39" fillId="0" borderId="30" xfId="0" applyFont="1" applyBorder="1" applyAlignment="1">
      <alignment horizontal="center" vertical="center" wrapText="1"/>
    </xf>
    <xf numFmtId="0" fontId="39" fillId="0" borderId="61" xfId="0" applyFont="1" applyBorder="1" applyAlignment="1">
      <alignment horizontal="center" vertical="center" wrapText="1"/>
    </xf>
    <xf numFmtId="0" fontId="41" fillId="0" borderId="56" xfId="0" applyFont="1" applyBorder="1" applyAlignment="1">
      <alignment horizontal="center"/>
    </xf>
    <xf numFmtId="0" fontId="41" fillId="0" borderId="54" xfId="0" applyFont="1" applyBorder="1" applyAlignment="1">
      <alignment horizontal="center"/>
    </xf>
    <xf numFmtId="0" fontId="41" fillId="0" borderId="53" xfId="0" applyFont="1" applyBorder="1" applyAlignment="1">
      <alignment horizontal="center"/>
    </xf>
    <xf numFmtId="0" fontId="39" fillId="0" borderId="16" xfId="0" applyFont="1" applyBorder="1" applyAlignment="1">
      <alignment horizontal="left"/>
    </xf>
    <xf numFmtId="0" fontId="39" fillId="0" borderId="7" xfId="0" applyFont="1" applyBorder="1" applyAlignment="1">
      <alignment horizontal="left"/>
    </xf>
    <xf numFmtId="0" fontId="38" fillId="0" borderId="32" xfId="0" applyFont="1" applyBorder="1" applyAlignment="1">
      <alignment horizontal="center"/>
    </xf>
    <xf numFmtId="0" fontId="38" fillId="0" borderId="1" xfId="0" applyFont="1" applyBorder="1" applyAlignment="1">
      <alignment horizontal="center"/>
    </xf>
    <xf numFmtId="0" fontId="38" fillId="0" borderId="33" xfId="0" applyFont="1" applyBorder="1" applyAlignment="1">
      <alignment horizontal="center"/>
    </xf>
    <xf numFmtId="0" fontId="39" fillId="0" borderId="18" xfId="0" applyFont="1" applyBorder="1" applyAlignment="1">
      <alignment horizontal="left"/>
    </xf>
    <xf numFmtId="0" fontId="39" fillId="0" borderId="6" xfId="0" applyFont="1" applyBorder="1" applyAlignment="1">
      <alignment horizontal="left"/>
    </xf>
    <xf numFmtId="0" fontId="39" fillId="0" borderId="2" xfId="0" applyFont="1" applyBorder="1" applyAlignment="1">
      <alignment horizontal="left"/>
    </xf>
    <xf numFmtId="0" fontId="39" fillId="0" borderId="3" xfId="0" applyFont="1" applyBorder="1" applyAlignment="1">
      <alignment horizontal="left"/>
    </xf>
    <xf numFmtId="0" fontId="39" fillId="0" borderId="33" xfId="0" applyFont="1" applyBorder="1" applyAlignment="1">
      <alignment horizontal="center" vertical="center"/>
    </xf>
    <xf numFmtId="0" fontId="39" fillId="0" borderId="62" xfId="0" applyFont="1" applyBorder="1" applyAlignment="1">
      <alignment horizontal="center" vertical="center"/>
    </xf>
    <xf numFmtId="0" fontId="39" fillId="0" borderId="29" xfId="0" applyFont="1" applyBorder="1" applyAlignment="1">
      <alignment horizontal="center" vertical="center"/>
    </xf>
    <xf numFmtId="0" fontId="39" fillId="0" borderId="63" xfId="0" applyFont="1" applyBorder="1" applyAlignment="1">
      <alignment horizontal="center" vertical="center"/>
    </xf>
    <xf numFmtId="0" fontId="39" fillId="0" borderId="5" xfId="0" applyFont="1" applyBorder="1" applyAlignment="1">
      <alignment horizontal="left"/>
    </xf>
    <xf numFmtId="0" fontId="41" fillId="0" borderId="18" xfId="0" applyFont="1" applyBorder="1" applyAlignment="1">
      <alignment horizontal="center"/>
    </xf>
    <xf numFmtId="0" fontId="41" fillId="0" borderId="6" xfId="0" applyFont="1" applyBorder="1" applyAlignment="1">
      <alignment horizontal="center"/>
    </xf>
    <xf numFmtId="0" fontId="41" fillId="0" borderId="38" xfId="0" applyFont="1" applyBorder="1" applyAlignment="1">
      <alignment horizontal="center"/>
    </xf>
    <xf numFmtId="0" fontId="39" fillId="0" borderId="5" xfId="0" applyFont="1" applyBorder="1" applyAlignment="1">
      <alignment horizontal="center"/>
    </xf>
    <xf numFmtId="0" fontId="39" fillId="0" borderId="18" xfId="0" applyFont="1" applyBorder="1" applyAlignment="1">
      <alignment horizontal="center"/>
    </xf>
    <xf numFmtId="0" fontId="39" fillId="0" borderId="6" xfId="0" applyFont="1" applyBorder="1" applyAlignment="1">
      <alignment horizontal="center"/>
    </xf>
    <xf numFmtId="0" fontId="39" fillId="0" borderId="38" xfId="0" applyFont="1" applyBorder="1" applyAlignment="1">
      <alignment horizontal="center"/>
    </xf>
    <xf numFmtId="0" fontId="39" fillId="0" borderId="59" xfId="0" applyFont="1" applyBorder="1" applyAlignment="1">
      <alignment horizontal="center"/>
    </xf>
    <xf numFmtId="0" fontId="39" fillId="0" borderId="48" xfId="0" applyFont="1" applyBorder="1" applyAlignment="1">
      <alignment horizontal="center"/>
    </xf>
    <xf numFmtId="0" fontId="38" fillId="0" borderId="15" xfId="0" applyFont="1" applyBorder="1" applyAlignment="1">
      <alignment horizontal="center"/>
    </xf>
    <xf numFmtId="0" fontId="38" fillId="0" borderId="34" xfId="0" applyFont="1" applyBorder="1" applyAlignment="1">
      <alignment horizontal="center"/>
    </xf>
    <xf numFmtId="0" fontId="38" fillId="0" borderId="24" xfId="0" applyFont="1" applyBorder="1" applyAlignment="1">
      <alignment horizontal="center"/>
    </xf>
    <xf numFmtId="0" fontId="38" fillId="0" borderId="57" xfId="0" applyFont="1" applyBorder="1" applyAlignment="1">
      <alignment horizontal="center"/>
    </xf>
    <xf numFmtId="0" fontId="39" fillId="0" borderId="11" xfId="0" applyFont="1" applyBorder="1" applyAlignment="1">
      <alignment horizontal="left"/>
    </xf>
    <xf numFmtId="0" fontId="39" fillId="0" borderId="12" xfId="0" applyFont="1" applyBorder="1" applyAlignment="1">
      <alignment horizontal="left"/>
    </xf>
    <xf numFmtId="0" fontId="39" fillId="0" borderId="51" xfId="0" applyFont="1" applyBorder="1" applyAlignment="1">
      <alignment horizontal="center"/>
    </xf>
    <xf numFmtId="0" fontId="39" fillId="0" borderId="52" xfId="0" applyFont="1" applyBorder="1" applyAlignment="1">
      <alignment horizontal="center"/>
    </xf>
    <xf numFmtId="0" fontId="39" fillId="0" borderId="55" xfId="0" applyFont="1" applyBorder="1" applyAlignment="1">
      <alignment horizontal="center"/>
    </xf>
    <xf numFmtId="0" fontId="39" fillId="0" borderId="54" xfId="0" applyFont="1" applyBorder="1" applyAlignment="1">
      <alignment horizontal="center"/>
    </xf>
    <xf numFmtId="0" fontId="39" fillId="0" borderId="53" xfId="0" applyFont="1" applyBorder="1" applyAlignment="1">
      <alignment horizontal="center"/>
    </xf>
    <xf numFmtId="0" fontId="48" fillId="0" borderId="58" xfId="0" applyFont="1" applyBorder="1" applyAlignment="1">
      <alignment horizontal="center"/>
    </xf>
    <xf numFmtId="0" fontId="48" fillId="0" borderId="59" xfId="0" applyFont="1" applyBorder="1" applyAlignment="1">
      <alignment horizontal="center"/>
    </xf>
    <xf numFmtId="0" fontId="48" fillId="0" borderId="48" xfId="0" applyFont="1" applyBorder="1" applyAlignment="1">
      <alignment horizontal="center"/>
    </xf>
    <xf numFmtId="0" fontId="38" fillId="0" borderId="10" xfId="0" applyFont="1" applyBorder="1" applyAlignment="1">
      <alignment horizontal="center"/>
    </xf>
    <xf numFmtId="0" fontId="38" fillId="0" borderId="8" xfId="0" applyFont="1" applyBorder="1" applyAlignment="1">
      <alignment horizontal="center"/>
    </xf>
    <xf numFmtId="0" fontId="38" fillId="0" borderId="4" xfId="0" applyFont="1" applyBorder="1" applyAlignment="1">
      <alignment horizontal="center"/>
    </xf>
    <xf numFmtId="0" fontId="38" fillId="0" borderId="37" xfId="0" applyFont="1" applyBorder="1" applyAlignment="1">
      <alignment horizontal="center"/>
    </xf>
    <xf numFmtId="0" fontId="39" fillId="0" borderId="19" xfId="0" applyFont="1" applyBorder="1" applyAlignment="1">
      <alignment horizontal="left"/>
    </xf>
    <xf numFmtId="0" fontId="39" fillId="0" borderId="10" xfId="0" applyFont="1" applyBorder="1" applyAlignment="1">
      <alignment horizontal="left"/>
    </xf>
    <xf numFmtId="0" fontId="41" fillId="0" borderId="2" xfId="0" applyFont="1" applyBorder="1" applyAlignment="1">
      <alignment horizontal="center"/>
    </xf>
    <xf numFmtId="0" fontId="41" fillId="0" borderId="0" xfId="0" applyFont="1" applyAlignment="1">
      <alignment horizontal="center"/>
    </xf>
    <xf numFmtId="0" fontId="41" fillId="0" borderId="3" xfId="0" applyFont="1" applyBorder="1" applyAlignment="1">
      <alignment horizontal="center"/>
    </xf>
    <xf numFmtId="0" fontId="38" fillId="0" borderId="8" xfId="0" applyFont="1" applyBorder="1" applyAlignment="1">
      <alignment horizontal="left"/>
    </xf>
    <xf numFmtId="0" fontId="38" fillId="0" borderId="37" xfId="0" applyFont="1" applyBorder="1" applyAlignment="1">
      <alignment horizontal="left"/>
    </xf>
    <xf numFmtId="0" fontId="39" fillId="0" borderId="0" xfId="0" applyFont="1" applyAlignment="1">
      <alignment horizontal="left"/>
    </xf>
    <xf numFmtId="14" fontId="39" fillId="0" borderId="4" xfId="0" applyNumberFormat="1" applyFont="1" applyBorder="1" applyAlignment="1">
      <alignment horizontal="left"/>
    </xf>
    <xf numFmtId="14" fontId="38" fillId="0" borderId="4" xfId="0" applyNumberFormat="1" applyFont="1" applyBorder="1" applyAlignment="1">
      <alignment horizontal="left"/>
    </xf>
    <xf numFmtId="0" fontId="39" fillId="0" borderId="53" xfId="0" applyFont="1" applyBorder="1" applyAlignment="1">
      <alignment horizontal="left"/>
    </xf>
    <xf numFmtId="0" fontId="39" fillId="0" borderId="15" xfId="0" applyFont="1" applyBorder="1" applyAlignment="1">
      <alignment horizontal="left"/>
    </xf>
    <xf numFmtId="0" fontId="38" fillId="0" borderId="7" xfId="0" applyFont="1" applyBorder="1" applyAlignment="1">
      <alignment horizontal="center"/>
    </xf>
    <xf numFmtId="0" fontId="39" fillId="0" borderId="60" xfId="0" applyFont="1" applyBorder="1" applyAlignment="1">
      <alignment horizontal="center"/>
    </xf>
    <xf numFmtId="0" fontId="39" fillId="0" borderId="56" xfId="0" applyFont="1" applyBorder="1" applyAlignment="1">
      <alignment horizontal="right"/>
    </xf>
    <xf numFmtId="0" fontId="39" fillId="0" borderId="54" xfId="0" applyFont="1" applyBorder="1" applyAlignment="1">
      <alignment horizontal="right"/>
    </xf>
    <xf numFmtId="49" fontId="39" fillId="0" borderId="54" xfId="0" applyNumberFormat="1" applyFont="1" applyBorder="1" applyAlignment="1">
      <alignment horizontal="left"/>
    </xf>
    <xf numFmtId="49" fontId="39" fillId="0" borderId="53" xfId="0" applyNumberFormat="1" applyFont="1" applyBorder="1" applyAlignment="1">
      <alignment horizontal="left"/>
    </xf>
    <xf numFmtId="0" fontId="3" fillId="0" borderId="19" xfId="0" applyFont="1" applyBorder="1" applyAlignment="1">
      <alignment horizontal="center"/>
    </xf>
    <xf numFmtId="0" fontId="3" fillId="0" borderId="0" xfId="0" applyFont="1" applyAlignment="1">
      <alignment horizontal="center"/>
    </xf>
    <xf numFmtId="0" fontId="3" fillId="0" borderId="10" xfId="0" applyFont="1" applyBorder="1" applyAlignment="1">
      <alignment horizontal="center"/>
    </xf>
    <xf numFmtId="0" fontId="39" fillId="0" borderId="40" xfId="0" applyFont="1" applyBorder="1" applyAlignment="1">
      <alignment horizontal="right"/>
    </xf>
    <xf numFmtId="0" fontId="39" fillId="0" borderId="15" xfId="0" applyFont="1" applyBorder="1" applyAlignment="1">
      <alignment horizontal="right"/>
    </xf>
    <xf numFmtId="0" fontId="38" fillId="0" borderId="5" xfId="0" applyFont="1" applyBorder="1" applyAlignment="1">
      <alignment horizontal="center"/>
    </xf>
    <xf numFmtId="0" fontId="39" fillId="0" borderId="39" xfId="0" applyFont="1" applyBorder="1" applyAlignment="1">
      <alignment horizontal="right"/>
    </xf>
    <xf numFmtId="0" fontId="39" fillId="0" borderId="20" xfId="0" applyFont="1" applyBorder="1" applyAlignment="1">
      <alignment horizontal="right"/>
    </xf>
    <xf numFmtId="1" fontId="47" fillId="0" borderId="20" xfId="0" applyNumberFormat="1" applyFont="1" applyBorder="1" applyAlignment="1">
      <alignment horizontal="left"/>
    </xf>
    <xf numFmtId="0" fontId="39" fillId="0" borderId="55" xfId="0" applyFont="1" applyBorder="1" applyAlignment="1">
      <alignment horizontal="left"/>
    </xf>
    <xf numFmtId="0" fontId="45" fillId="0" borderId="39" xfId="0" applyFont="1" applyBorder="1" applyAlignment="1">
      <alignment horizontal="left" vertical="center"/>
    </xf>
    <xf numFmtId="0" fontId="45" fillId="0" borderId="20" xfId="0" applyFont="1" applyBorder="1" applyAlignment="1">
      <alignment horizontal="left" vertical="center"/>
    </xf>
    <xf numFmtId="0" fontId="39" fillId="4" borderId="41" xfId="0" applyFont="1" applyFill="1" applyBorder="1" applyAlignment="1">
      <alignment horizontal="center"/>
    </xf>
    <xf numFmtId="0" fontId="39" fillId="4" borderId="12" xfId="0" applyFont="1" applyFill="1" applyBorder="1" applyAlignment="1">
      <alignment horizontal="center"/>
    </xf>
    <xf numFmtId="0" fontId="39" fillId="4" borderId="62" xfId="0" applyFont="1" applyFill="1" applyBorder="1" applyAlignment="1">
      <alignment horizontal="center"/>
    </xf>
    <xf numFmtId="0" fontId="3" fillId="0" borderId="20" xfId="0" applyFont="1" applyBorder="1" applyAlignment="1">
      <alignment horizontal="center"/>
    </xf>
    <xf numFmtId="0" fontId="0" fillId="0" borderId="20" xfId="0" applyBorder="1" applyAlignment="1">
      <alignment horizontal="center"/>
    </xf>
    <xf numFmtId="0" fontId="0" fillId="0" borderId="42" xfId="0" applyBorder="1" applyAlignment="1">
      <alignment horizontal="center"/>
    </xf>
    <xf numFmtId="0" fontId="6" fillId="0" borderId="15" xfId="0" applyFont="1" applyBorder="1" applyAlignment="1">
      <alignment horizontal="center"/>
    </xf>
    <xf numFmtId="1" fontId="6" fillId="0" borderId="19" xfId="0" applyNumberFormat="1" applyFont="1" applyBorder="1" applyAlignment="1">
      <alignment horizontal="center" vertical="center"/>
    </xf>
    <xf numFmtId="1" fontId="6" fillId="0" borderId="41" xfId="0" applyNumberFormat="1" applyFont="1" applyBorder="1" applyAlignment="1">
      <alignment horizontal="center" vertical="center"/>
    </xf>
    <xf numFmtId="0" fontId="6" fillId="0" borderId="55" xfId="0" applyFont="1" applyBorder="1" applyAlignment="1">
      <alignment horizontal="center" vertical="center"/>
    </xf>
    <xf numFmtId="0" fontId="6" fillId="0" borderId="53" xfId="0" applyFont="1" applyBorder="1" applyAlignment="1">
      <alignment horizontal="center" vertical="center"/>
    </xf>
    <xf numFmtId="0" fontId="6" fillId="0" borderId="20" xfId="0" applyFont="1" applyBorder="1" applyAlignment="1">
      <alignment horizontal="center"/>
    </xf>
    <xf numFmtId="0" fontId="6" fillId="0" borderId="51" xfId="0" applyFont="1" applyBorder="1" applyAlignment="1">
      <alignment horizontal="center" vertical="center"/>
    </xf>
    <xf numFmtId="0" fontId="6" fillId="0" borderId="52" xfId="0" applyFont="1" applyBorder="1" applyAlignment="1">
      <alignment horizontal="center" vertical="center"/>
    </xf>
    <xf numFmtId="1" fontId="6" fillId="0" borderId="30" xfId="0" applyNumberFormat="1" applyFont="1" applyBorder="1" applyAlignment="1">
      <alignment horizontal="center" vertical="center"/>
    </xf>
    <xf numFmtId="1" fontId="6" fillId="0" borderId="31" xfId="0" applyNumberFormat="1" applyFont="1" applyBorder="1" applyAlignment="1">
      <alignment horizontal="center" vertical="center"/>
    </xf>
    <xf numFmtId="1" fontId="6" fillId="0" borderId="61" xfId="0" applyNumberFormat="1" applyFont="1" applyBorder="1" applyAlignment="1">
      <alignment horizontal="center" vertical="center"/>
    </xf>
    <xf numFmtId="0" fontId="6" fillId="0" borderId="36" xfId="0" applyFont="1" applyBorder="1" applyAlignment="1">
      <alignment horizontal="center"/>
    </xf>
    <xf numFmtId="0" fontId="39" fillId="0" borderId="58" xfId="0" applyFont="1" applyBorder="1" applyAlignment="1">
      <alignment horizontal="center"/>
    </xf>
    <xf numFmtId="0" fontId="39" fillId="0" borderId="1" xfId="0" applyFont="1" applyBorder="1" applyAlignment="1">
      <alignment horizontal="center"/>
    </xf>
    <xf numFmtId="0" fontId="39" fillId="0" borderId="28" xfId="0" applyFont="1" applyBorder="1" applyAlignment="1">
      <alignment horizontal="center"/>
    </xf>
    <xf numFmtId="0" fontId="39" fillId="0" borderId="1" xfId="0" applyFont="1" applyBorder="1" applyAlignment="1">
      <alignment horizontal="left"/>
    </xf>
    <xf numFmtId="0" fontId="39" fillId="0" borderId="28" xfId="0" applyFont="1" applyBorder="1" applyAlignment="1">
      <alignment horizontal="left"/>
    </xf>
    <xf numFmtId="0" fontId="38" fillId="0" borderId="0" xfId="0" applyFont="1" applyAlignment="1">
      <alignment horizontal="left"/>
    </xf>
    <xf numFmtId="0" fontId="38" fillId="0" borderId="10" xfId="0" applyFont="1" applyBorder="1" applyAlignment="1">
      <alignment horizontal="left"/>
    </xf>
    <xf numFmtId="0" fontId="39" fillId="0" borderId="64" xfId="0" applyFont="1" applyBorder="1" applyAlignment="1">
      <alignment horizontal="center"/>
    </xf>
    <xf numFmtId="0" fontId="39" fillId="0" borderId="12" xfId="0" applyFont="1" applyBorder="1" applyAlignment="1">
      <alignment horizontal="center"/>
    </xf>
    <xf numFmtId="0" fontId="39" fillId="0" borderId="14" xfId="0" applyFont="1" applyBorder="1" applyAlignment="1">
      <alignment horizontal="center"/>
    </xf>
    <xf numFmtId="0" fontId="39" fillId="0" borderId="71" xfId="0" applyFont="1" applyBorder="1" applyAlignment="1">
      <alignment horizontal="center" vertical="center"/>
    </xf>
    <xf numFmtId="0" fontId="39" fillId="0" borderId="72" xfId="0" applyFont="1" applyBorder="1" applyAlignment="1">
      <alignment horizontal="center" vertical="center"/>
    </xf>
    <xf numFmtId="167" fontId="6" fillId="0" borderId="43" xfId="0" applyNumberFormat="1" applyFont="1" applyBorder="1" applyAlignment="1">
      <alignment horizontal="center" vertical="center"/>
    </xf>
    <xf numFmtId="167" fontId="6" fillId="0" borderId="44" xfId="0" applyNumberFormat="1" applyFont="1" applyBorder="1" applyAlignment="1">
      <alignment horizontal="center" vertical="center"/>
    </xf>
    <xf numFmtId="167" fontId="6" fillId="0" borderId="45" xfId="0" applyNumberFormat="1" applyFont="1" applyBorder="1" applyAlignment="1">
      <alignment horizontal="center" vertical="center"/>
    </xf>
    <xf numFmtId="0" fontId="6" fillId="0" borderId="21" xfId="0" applyFont="1" applyBorder="1" applyAlignment="1">
      <alignment horizontal="center"/>
    </xf>
    <xf numFmtId="0" fontId="39" fillId="0" borderId="6" xfId="0" applyFont="1" applyBorder="1" applyAlignment="1">
      <alignment horizontal="center" vertical="center"/>
    </xf>
    <xf numFmtId="0" fontId="39" fillId="0" borderId="38" xfId="0" applyFont="1" applyBorder="1" applyAlignment="1">
      <alignment horizontal="center" vertical="center"/>
    </xf>
    <xf numFmtId="0" fontId="38" fillId="0" borderId="21" xfId="0" applyFont="1" applyBorder="1" applyAlignment="1">
      <alignment horizontal="center"/>
    </xf>
    <xf numFmtId="0" fontId="38" fillId="0" borderId="15" xfId="0" applyFont="1" applyBorder="1" applyAlignment="1">
      <alignment horizontal="center" vertical="center"/>
    </xf>
    <xf numFmtId="0" fontId="38" fillId="0" borderId="34" xfId="0" applyFont="1" applyBorder="1" applyAlignment="1">
      <alignment horizontal="center" vertical="center"/>
    </xf>
    <xf numFmtId="0" fontId="6" fillId="0" borderId="8" xfId="0" applyFont="1" applyBorder="1" applyAlignment="1">
      <alignment horizontal="center"/>
    </xf>
    <xf numFmtId="0" fontId="6" fillId="0" borderId="5" xfId="0" applyFont="1" applyBorder="1" applyAlignment="1">
      <alignment horizontal="center"/>
    </xf>
    <xf numFmtId="0" fontId="6" fillId="0" borderId="55" xfId="0" applyFont="1" applyBorder="1" applyAlignment="1">
      <alignment horizontal="center"/>
    </xf>
    <xf numFmtId="0" fontId="6" fillId="0" borderId="53" xfId="0" applyFont="1" applyBorder="1" applyAlignment="1">
      <alignment horizontal="center"/>
    </xf>
    <xf numFmtId="0" fontId="6" fillId="0" borderId="51" xfId="0" applyFont="1" applyBorder="1" applyAlignment="1">
      <alignment horizontal="center"/>
    </xf>
    <xf numFmtId="0" fontId="6" fillId="0" borderId="52" xfId="0" applyFont="1" applyBorder="1" applyAlignment="1">
      <alignment horizontal="center"/>
    </xf>
    <xf numFmtId="0" fontId="6" fillId="0" borderId="21" xfId="0" applyFont="1" applyBorder="1" applyAlignment="1">
      <alignment horizontal="center" vertical="center"/>
    </xf>
    <xf numFmtId="0" fontId="6" fillId="0" borderId="23" xfId="0" applyFont="1" applyBorder="1" applyAlignment="1">
      <alignment horizontal="center" vertical="center"/>
    </xf>
    <xf numFmtId="0" fontId="6" fillId="0" borderId="27" xfId="0" applyFont="1" applyBorder="1" applyAlignment="1">
      <alignment horizontal="center" vertical="center"/>
    </xf>
    <xf numFmtId="167" fontId="6" fillId="0" borderId="65" xfId="0" applyNumberFormat="1" applyFont="1" applyBorder="1" applyAlignment="1">
      <alignment horizontal="center" vertical="center"/>
    </xf>
    <xf numFmtId="167" fontId="6" fillId="0" borderId="69" xfId="0" applyNumberFormat="1" applyFont="1" applyBorder="1" applyAlignment="1">
      <alignment horizontal="center" vertical="center"/>
    </xf>
    <xf numFmtId="167" fontId="6" fillId="0" borderId="70" xfId="0" applyNumberFormat="1" applyFont="1" applyBorder="1" applyAlignment="1">
      <alignment horizontal="center" vertical="center"/>
    </xf>
    <xf numFmtId="0" fontId="42" fillId="0" borderId="2" xfId="0" applyFont="1" applyBorder="1" applyAlignment="1">
      <alignment horizontal="center"/>
    </xf>
    <xf numFmtId="0" fontId="42" fillId="0" borderId="0" xfId="0" applyFont="1" applyAlignment="1">
      <alignment horizontal="center"/>
    </xf>
    <xf numFmtId="0" fontId="41" fillId="0" borderId="17" xfId="0" applyFont="1" applyBorder="1" applyAlignment="1">
      <alignment horizontal="center"/>
    </xf>
    <xf numFmtId="0" fontId="41" fillId="0" borderId="1" xfId="0" applyFont="1" applyBorder="1" applyAlignment="1">
      <alignment horizontal="center"/>
    </xf>
    <xf numFmtId="0" fontId="41" fillId="0" borderId="28" xfId="0" applyFont="1" applyBorder="1" applyAlignment="1">
      <alignment horizontal="center"/>
    </xf>
    <xf numFmtId="0" fontId="42" fillId="0" borderId="10" xfId="0" applyFont="1" applyBorder="1" applyAlignment="1">
      <alignment horizontal="center"/>
    </xf>
    <xf numFmtId="15" fontId="43" fillId="0" borderId="55" xfId="0" applyNumberFormat="1" applyFont="1" applyBorder="1" applyAlignment="1">
      <alignment horizontal="left"/>
    </xf>
    <xf numFmtId="15" fontId="43" fillId="0" borderId="54" xfId="0" applyNumberFormat="1" applyFont="1" applyBorder="1" applyAlignment="1">
      <alignment horizontal="left"/>
    </xf>
    <xf numFmtId="15" fontId="43" fillId="0" borderId="64" xfId="0" applyNumberFormat="1" applyFont="1" applyBorder="1" applyAlignment="1">
      <alignment horizontal="left"/>
    </xf>
    <xf numFmtId="0" fontId="13" fillId="0" borderId="19" xfId="0" applyFont="1" applyBorder="1" applyAlignment="1">
      <alignment horizontal="center"/>
    </xf>
    <xf numFmtId="0" fontId="13" fillId="0" borderId="0" xfId="0" applyFont="1" applyAlignment="1">
      <alignment horizontal="center"/>
    </xf>
    <xf numFmtId="49" fontId="14" fillId="0" borderId="2" xfId="0" applyNumberFormat="1" applyFont="1" applyBorder="1" applyAlignment="1">
      <alignment horizontal="left"/>
    </xf>
    <xf numFmtId="49" fontId="14" fillId="0" borderId="0" xfId="0" applyNumberFormat="1" applyFont="1" applyAlignment="1">
      <alignment horizontal="left"/>
    </xf>
    <xf numFmtId="0" fontId="15" fillId="0" borderId="0" xfId="0" applyFont="1" applyAlignment="1">
      <alignment horizontal="left"/>
    </xf>
    <xf numFmtId="0" fontId="15" fillId="0" borderId="10" xfId="0" applyFont="1" applyBorder="1" applyAlignment="1">
      <alignment horizontal="left"/>
    </xf>
    <xf numFmtId="0" fontId="0" fillId="0" borderId="0" xfId="0" applyAlignment="1">
      <alignment horizontal="right"/>
    </xf>
    <xf numFmtId="14" fontId="43" fillId="0" borderId="55" xfId="0" applyNumberFormat="1" applyFont="1" applyBorder="1" applyAlignment="1">
      <alignment horizontal="left"/>
    </xf>
    <xf numFmtId="14" fontId="43" fillId="0" borderId="54" xfId="0" applyNumberFormat="1" applyFont="1" applyBorder="1" applyAlignment="1">
      <alignment horizontal="left"/>
    </xf>
    <xf numFmtId="14" fontId="43" fillId="0" borderId="53" xfId="0" applyNumberFormat="1" applyFont="1" applyBorder="1" applyAlignment="1">
      <alignment horizontal="left"/>
    </xf>
    <xf numFmtId="49" fontId="10" fillId="0" borderId="58" xfId="0" applyNumberFormat="1" applyFont="1" applyBorder="1" applyAlignment="1">
      <alignment horizontal="center"/>
    </xf>
    <xf numFmtId="49" fontId="10" fillId="0" borderId="59" xfId="0" applyNumberFormat="1" applyFont="1" applyBorder="1" applyAlignment="1">
      <alignment horizontal="center"/>
    </xf>
    <xf numFmtId="49" fontId="10" fillId="0" borderId="48" xfId="0" applyNumberFormat="1" applyFont="1" applyBorder="1" applyAlignment="1">
      <alignment horizontal="center"/>
    </xf>
    <xf numFmtId="49" fontId="11" fillId="0" borderId="17" xfId="0" applyNumberFormat="1" applyFont="1" applyBorder="1" applyAlignment="1">
      <alignment horizontal="center"/>
    </xf>
    <xf numFmtId="49" fontId="11" fillId="0" borderId="1" xfId="0" applyNumberFormat="1" applyFont="1" applyBorder="1" applyAlignment="1">
      <alignment horizontal="center"/>
    </xf>
    <xf numFmtId="49" fontId="11" fillId="0" borderId="28" xfId="0" applyNumberFormat="1" applyFont="1" applyBorder="1" applyAlignment="1">
      <alignment horizontal="center"/>
    </xf>
    <xf numFmtId="49" fontId="12" fillId="0" borderId="2" xfId="0" applyNumberFormat="1" applyFont="1" applyBorder="1" applyAlignment="1">
      <alignment horizontal="center"/>
    </xf>
    <xf numFmtId="49" fontId="12" fillId="0" borderId="0" xfId="0" applyNumberFormat="1" applyFont="1" applyAlignment="1">
      <alignment horizontal="center"/>
    </xf>
    <xf numFmtId="49" fontId="12" fillId="0" borderId="10" xfId="0" applyNumberFormat="1" applyFont="1" applyBorder="1" applyAlignment="1">
      <alignment horizontal="center"/>
    </xf>
    <xf numFmtId="0" fontId="43" fillId="0" borderId="55" xfId="0" applyFont="1" applyBorder="1" applyAlignment="1">
      <alignment horizontal="left"/>
    </xf>
    <xf numFmtId="0" fontId="43" fillId="0" borderId="54" xfId="0" applyFont="1" applyBorder="1" applyAlignment="1">
      <alignment horizontal="left"/>
    </xf>
    <xf numFmtId="0" fontId="43" fillId="0" borderId="53" xfId="0" applyFont="1" applyBorder="1" applyAlignment="1">
      <alignment horizontal="left"/>
    </xf>
    <xf numFmtId="0" fontId="43" fillId="0" borderId="64" xfId="0" applyFont="1" applyBorder="1" applyAlignment="1">
      <alignment horizontal="left"/>
    </xf>
    <xf numFmtId="0" fontId="26" fillId="0" borderId="17" xfId="0" applyFont="1" applyBorder="1" applyAlignment="1">
      <alignment horizontal="center" wrapText="1"/>
    </xf>
    <xf numFmtId="0" fontId="26" fillId="0" borderId="1" xfId="0" applyFont="1" applyBorder="1" applyAlignment="1">
      <alignment horizontal="center" wrapText="1"/>
    </xf>
    <xf numFmtId="0" fontId="26" fillId="0" borderId="28" xfId="0" applyFont="1" applyBorder="1" applyAlignment="1">
      <alignment horizontal="center" wrapText="1"/>
    </xf>
    <xf numFmtId="0" fontId="44" fillId="0" borderId="40" xfId="0" applyFont="1" applyBorder="1" applyAlignment="1">
      <alignment horizontal="left"/>
    </xf>
    <xf numFmtId="0" fontId="44" fillId="0" borderId="15" xfId="0" applyFont="1" applyBorder="1" applyAlignment="1">
      <alignment horizontal="left"/>
    </xf>
    <xf numFmtId="0" fontId="44" fillId="5" borderId="55" xfId="0" applyFont="1" applyFill="1" applyBorder="1" applyAlignment="1">
      <alignment horizontal="left"/>
    </xf>
    <xf numFmtId="0" fontId="44" fillId="5" borderId="54" xfId="0" applyFont="1" applyFill="1" applyBorder="1" applyAlignment="1">
      <alignment horizontal="left"/>
    </xf>
    <xf numFmtId="0" fontId="44" fillId="5" borderId="53" xfId="0" applyFont="1" applyFill="1" applyBorder="1" applyAlignment="1">
      <alignment horizontal="left"/>
    </xf>
    <xf numFmtId="168" fontId="44" fillId="5" borderId="55" xfId="0" applyNumberFormat="1" applyFont="1" applyFill="1" applyBorder="1" applyAlignment="1">
      <alignment horizontal="left"/>
    </xf>
    <xf numFmtId="168" fontId="44" fillId="5" borderId="54" xfId="0" applyNumberFormat="1" applyFont="1" applyFill="1" applyBorder="1" applyAlignment="1">
      <alignment horizontal="left"/>
    </xf>
    <xf numFmtId="168" fontId="44" fillId="5" borderId="64" xfId="0" applyNumberFormat="1" applyFont="1" applyFill="1" applyBorder="1" applyAlignment="1">
      <alignment horizontal="left"/>
    </xf>
    <xf numFmtId="0" fontId="44" fillId="0" borderId="2" xfId="0" applyFont="1" applyBorder="1" applyAlignment="1">
      <alignment horizontal="left"/>
    </xf>
    <xf numFmtId="0" fontId="44" fillId="0" borderId="0" xfId="0" applyFont="1" applyAlignment="1">
      <alignment horizontal="left"/>
    </xf>
    <xf numFmtId="0" fontId="44" fillId="0" borderId="10" xfId="0" applyFont="1" applyBorder="1" applyAlignment="1">
      <alignment horizontal="left"/>
    </xf>
    <xf numFmtId="0" fontId="44" fillId="0" borderId="2" xfId="0" applyFont="1" applyBorder="1" applyAlignment="1">
      <alignment horizontal="left" vertical="top" wrapText="1"/>
    </xf>
    <xf numFmtId="0" fontId="44" fillId="0" borderId="0" xfId="0" applyFont="1" applyAlignment="1">
      <alignment horizontal="left" vertical="top" wrapText="1"/>
    </xf>
    <xf numFmtId="0" fontId="44" fillId="0" borderId="10" xfId="0" applyFont="1" applyBorder="1" applyAlignment="1">
      <alignment horizontal="left" vertical="top" wrapText="1"/>
    </xf>
    <xf numFmtId="0" fontId="44" fillId="5" borderId="2" xfId="0" applyFont="1" applyFill="1" applyBorder="1" applyAlignment="1">
      <alignment horizontal="left" vertical="top" wrapText="1"/>
    </xf>
    <xf numFmtId="0" fontId="44" fillId="5" borderId="0" xfId="0" applyFont="1" applyFill="1" applyAlignment="1">
      <alignment horizontal="left" vertical="top" wrapText="1"/>
    </xf>
    <xf numFmtId="0" fontId="44" fillId="5" borderId="10" xfId="0" applyFont="1" applyFill="1" applyBorder="1" applyAlignment="1">
      <alignment horizontal="left" vertical="top" wrapText="1"/>
    </xf>
    <xf numFmtId="0" fontId="21" fillId="0" borderId="51" xfId="0" applyFont="1" applyBorder="1" applyAlignment="1">
      <alignment horizontal="center"/>
    </xf>
    <xf numFmtId="0" fontId="21" fillId="0" borderId="66" xfId="0" applyFont="1" applyBorder="1" applyAlignment="1">
      <alignment horizontal="center"/>
    </xf>
    <xf numFmtId="0" fontId="21" fillId="0" borderId="52" xfId="0" applyFont="1" applyBorder="1" applyAlignment="1">
      <alignment horizontal="center"/>
    </xf>
    <xf numFmtId="0" fontId="11" fillId="0" borderId="60" xfId="0" applyFont="1" applyBorder="1" applyAlignment="1">
      <alignment horizontal="left" vertical="center"/>
    </xf>
    <xf numFmtId="0" fontId="11" fillId="0" borderId="48" xfId="0" applyFont="1" applyBorder="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0" fontId="3" fillId="0" borderId="23" xfId="0" applyFont="1" applyBorder="1" applyAlignment="1">
      <alignment horizontal="center" vertical="center"/>
    </xf>
    <xf numFmtId="0" fontId="3" fillId="0" borderId="27" xfId="0" applyFont="1" applyBorder="1" applyAlignment="1">
      <alignment horizontal="center"/>
    </xf>
    <xf numFmtId="0" fontId="3" fillId="0" borderId="52" xfId="0" applyFont="1" applyBorder="1" applyAlignment="1">
      <alignment horizontal="center" vertical="center"/>
    </xf>
    <xf numFmtId="0" fontId="3" fillId="0" borderId="21" xfId="0" applyFont="1" applyBorder="1" applyAlignment="1">
      <alignment horizontal="center" vertical="center"/>
    </xf>
    <xf numFmtId="0" fontId="3" fillId="0" borderId="51" xfId="0" applyFont="1" applyBorder="1" applyAlignment="1">
      <alignment horizontal="center" vertical="center"/>
    </xf>
    <xf numFmtId="16" fontId="3" fillId="0" borderId="27" xfId="0" applyNumberFormat="1" applyFont="1" applyBorder="1" applyAlignment="1">
      <alignment horizontal="center"/>
    </xf>
    <xf numFmtId="0" fontId="3" fillId="3" borderId="32" xfId="0" applyFont="1" applyFill="1" applyBorder="1" applyAlignment="1">
      <alignment horizontal="center"/>
    </xf>
    <xf numFmtId="0" fontId="3" fillId="3" borderId="1" xfId="0" applyFont="1" applyFill="1" applyBorder="1" applyAlignment="1">
      <alignment horizontal="center"/>
    </xf>
    <xf numFmtId="0" fontId="3" fillId="3" borderId="0" xfId="0" applyFont="1" applyFill="1" applyAlignment="1">
      <alignment horizontal="center"/>
    </xf>
    <xf numFmtId="0" fontId="3" fillId="3" borderId="33" xfId="0" applyFont="1" applyFill="1" applyBorder="1" applyAlignment="1">
      <alignment horizontal="center"/>
    </xf>
    <xf numFmtId="0" fontId="13" fillId="0" borderId="15" xfId="0" applyFont="1" applyBorder="1" applyAlignment="1">
      <alignment horizontal="left"/>
    </xf>
    <xf numFmtId="0" fontId="12" fillId="0" borderId="15" xfId="0" applyFont="1" applyBorder="1" applyAlignment="1">
      <alignment horizontal="center"/>
    </xf>
    <xf numFmtId="49" fontId="12" fillId="0" borderId="15" xfId="0" applyNumberFormat="1" applyFont="1" applyBorder="1" applyAlignment="1">
      <alignment horizontal="center"/>
    </xf>
    <xf numFmtId="0" fontId="13" fillId="4" borderId="15" xfId="0" applyFont="1" applyFill="1" applyBorder="1" applyAlignment="1">
      <alignment horizontal="left"/>
    </xf>
    <xf numFmtId="0" fontId="13" fillId="4" borderId="15" xfId="0" applyFont="1" applyFill="1" applyBorder="1" applyAlignment="1">
      <alignment horizontal="center"/>
    </xf>
    <xf numFmtId="0" fontId="13" fillId="4" borderId="15" xfId="0" applyFont="1" applyFill="1" applyBorder="1" applyAlignment="1">
      <alignment horizontal="left" vertical="center"/>
    </xf>
    <xf numFmtId="0" fontId="13" fillId="4" borderId="55" xfId="0" applyFont="1" applyFill="1" applyBorder="1" applyAlignment="1">
      <alignment horizontal="left" vertical="center" wrapText="1"/>
    </xf>
    <xf numFmtId="0" fontId="13" fillId="4" borderId="54" xfId="0" applyFont="1" applyFill="1" applyBorder="1" applyAlignment="1">
      <alignment horizontal="left" vertical="center" wrapText="1"/>
    </xf>
    <xf numFmtId="0" fontId="13" fillId="4" borderId="53" xfId="0" applyFont="1" applyFill="1" applyBorder="1" applyAlignment="1">
      <alignment horizontal="left" vertical="center" wrapText="1"/>
    </xf>
    <xf numFmtId="0" fontId="13" fillId="4" borderId="64" xfId="0" applyFont="1" applyFill="1" applyBorder="1" applyAlignment="1">
      <alignment horizontal="left" vertical="center" wrapText="1"/>
    </xf>
    <xf numFmtId="0" fontId="12" fillId="0" borderId="56" xfId="0" applyFont="1" applyBorder="1" applyAlignment="1">
      <alignment horizontal="center"/>
    </xf>
    <xf numFmtId="0" fontId="12" fillId="0" borderId="54" xfId="0" applyFont="1" applyBorder="1" applyAlignment="1">
      <alignment horizontal="center"/>
    </xf>
    <xf numFmtId="0" fontId="12" fillId="0" borderId="53" xfId="0" applyFont="1" applyBorder="1" applyAlignment="1">
      <alignment horizontal="center"/>
    </xf>
    <xf numFmtId="0" fontId="5" fillId="4" borderId="55" xfId="0" applyFont="1" applyFill="1" applyBorder="1" applyAlignment="1">
      <alignment horizontal="left"/>
    </xf>
    <xf numFmtId="0" fontId="5" fillId="4" borderId="53" xfId="0" applyFont="1" applyFill="1" applyBorder="1" applyAlignment="1">
      <alignment horizontal="left"/>
    </xf>
    <xf numFmtId="0" fontId="5" fillId="4" borderId="15" xfId="0" applyFont="1" applyFill="1" applyBorder="1" applyAlignment="1">
      <alignment horizontal="center"/>
    </xf>
    <xf numFmtId="0" fontId="5" fillId="4" borderId="34" xfId="0" applyFont="1" applyFill="1" applyBorder="1" applyAlignment="1">
      <alignment horizontal="center"/>
    </xf>
    <xf numFmtId="0" fontId="12" fillId="0" borderId="40" xfId="0" applyFont="1" applyBorder="1" applyAlignment="1">
      <alignment horizontal="center"/>
    </xf>
    <xf numFmtId="0" fontId="12" fillId="5" borderId="15" xfId="0" applyFont="1" applyFill="1" applyBorder="1" applyAlignment="1">
      <alignment horizontal="left"/>
    </xf>
    <xf numFmtId="0" fontId="12" fillId="5" borderId="34" xfId="0" applyFont="1" applyFill="1" applyBorder="1" applyAlignment="1">
      <alignment horizontal="left"/>
    </xf>
    <xf numFmtId="0" fontId="12" fillId="5" borderId="40" xfId="0" applyFont="1" applyFill="1" applyBorder="1" applyAlignment="1">
      <alignment horizontal="center"/>
    </xf>
    <xf numFmtId="0" fontId="12" fillId="5" borderId="15" xfId="0" applyFont="1" applyFill="1" applyBorder="1" applyAlignment="1">
      <alignment horizontal="center"/>
    </xf>
    <xf numFmtId="0" fontId="12" fillId="0" borderId="21" xfId="0" applyFont="1" applyBorder="1" applyAlignment="1">
      <alignment horizontal="left"/>
    </xf>
    <xf numFmtId="0" fontId="12" fillId="0" borderId="22" xfId="0" applyFont="1" applyBorder="1" applyAlignment="1">
      <alignment horizontal="left"/>
    </xf>
    <xf numFmtId="0" fontId="12" fillId="5" borderId="60" xfId="0" applyFont="1" applyFill="1" applyBorder="1" applyAlignment="1">
      <alignment horizontal="left"/>
    </xf>
    <xf numFmtId="0" fontId="12" fillId="5" borderId="59" xfId="0" applyFont="1" applyFill="1" applyBorder="1" applyAlignment="1">
      <alignment horizontal="left"/>
    </xf>
    <xf numFmtId="0" fontId="12" fillId="5" borderId="48" xfId="0" applyFont="1" applyFill="1" applyBorder="1" applyAlignment="1">
      <alignment horizontal="left"/>
    </xf>
    <xf numFmtId="0" fontId="12" fillId="5" borderId="23" xfId="0" applyFont="1" applyFill="1" applyBorder="1" applyAlignment="1">
      <alignment horizontal="center"/>
    </xf>
    <xf numFmtId="0" fontId="0" fillId="5" borderId="67" xfId="0" applyFill="1" applyBorder="1"/>
    <xf numFmtId="0" fontId="0" fillId="5" borderId="27" xfId="0" applyFill="1" applyBorder="1"/>
    <xf numFmtId="0" fontId="12" fillId="5" borderId="55" xfId="0" applyFont="1" applyFill="1" applyBorder="1" applyAlignment="1">
      <alignment horizontal="center"/>
    </xf>
    <xf numFmtId="0" fontId="0" fillId="5" borderId="54" xfId="0" applyFill="1" applyBorder="1"/>
    <xf numFmtId="0" fontId="0" fillId="5" borderId="53" xfId="0" applyFill="1" applyBorder="1"/>
    <xf numFmtId="0" fontId="0" fillId="5" borderId="55" xfId="0" applyFill="1" applyBorder="1" applyAlignment="1">
      <alignment horizontal="center"/>
    </xf>
    <xf numFmtId="0" fontId="0" fillId="5" borderId="54" xfId="0" applyFill="1" applyBorder="1" applyAlignment="1">
      <alignment horizontal="center"/>
    </xf>
    <xf numFmtId="0" fontId="0" fillId="5" borderId="53" xfId="0" applyFill="1" applyBorder="1" applyAlignment="1">
      <alignment horizontal="center"/>
    </xf>
    <xf numFmtId="0" fontId="11" fillId="3" borderId="60" xfId="0" applyFont="1" applyFill="1" applyBorder="1" applyAlignment="1">
      <alignment horizontal="left"/>
    </xf>
    <xf numFmtId="0" fontId="11" fillId="3" borderId="59" xfId="0" applyFont="1" applyFill="1" applyBorder="1" applyAlignment="1">
      <alignment horizontal="left"/>
    </xf>
    <xf numFmtId="0" fontId="11" fillId="3" borderId="50" xfId="0" applyFont="1" applyFill="1" applyBorder="1" applyAlignment="1">
      <alignment horizontal="left"/>
    </xf>
    <xf numFmtId="0" fontId="23" fillId="0" borderId="32" xfId="0" applyFont="1" applyBorder="1" applyAlignment="1">
      <alignment horizontal="left" vertical="top"/>
    </xf>
    <xf numFmtId="0" fontId="23" fillId="0" borderId="1" xfId="0" applyFont="1" applyBorder="1" applyAlignment="1">
      <alignment horizontal="left" vertical="top"/>
    </xf>
    <xf numFmtId="0" fontId="23" fillId="0" borderId="33" xfId="0" applyFont="1" applyBorder="1" applyAlignment="1">
      <alignment horizontal="left" vertical="top"/>
    </xf>
    <xf numFmtId="0" fontId="23" fillId="0" borderId="19" xfId="0" applyFont="1" applyBorder="1" applyAlignment="1">
      <alignment horizontal="left" vertical="top"/>
    </xf>
    <xf numFmtId="0" fontId="23" fillId="0" borderId="0" xfId="0" applyFont="1" applyAlignment="1">
      <alignment horizontal="left" vertical="top"/>
    </xf>
    <xf numFmtId="0" fontId="23" fillId="0" borderId="3" xfId="0" applyFont="1" applyBorder="1" applyAlignment="1">
      <alignment horizontal="left" vertical="top"/>
    </xf>
    <xf numFmtId="0" fontId="23" fillId="0" borderId="41" xfId="0" applyFont="1" applyBorder="1" applyAlignment="1">
      <alignment horizontal="left" vertical="top"/>
    </xf>
    <xf numFmtId="0" fontId="23" fillId="0" borderId="12" xfId="0" applyFont="1" applyBorder="1" applyAlignment="1">
      <alignment horizontal="left" vertical="top"/>
    </xf>
    <xf numFmtId="0" fontId="23" fillId="0" borderId="62" xfId="0" applyFont="1" applyBorder="1" applyAlignment="1">
      <alignment horizontal="left" vertical="top"/>
    </xf>
    <xf numFmtId="0" fontId="11" fillId="3" borderId="32" xfId="0" applyFont="1" applyFill="1" applyBorder="1" applyAlignment="1">
      <alignment horizontal="left" vertical="top" wrapText="1"/>
    </xf>
    <xf numFmtId="0" fontId="11" fillId="3" borderId="1" xfId="0" applyFont="1" applyFill="1" applyBorder="1" applyAlignment="1">
      <alignment horizontal="left" vertical="top" wrapText="1"/>
    </xf>
    <xf numFmtId="0" fontId="11" fillId="3" borderId="28" xfId="0" applyFont="1" applyFill="1" applyBorder="1" applyAlignment="1">
      <alignment horizontal="left" vertical="top" wrapText="1"/>
    </xf>
    <xf numFmtId="0" fontId="11" fillId="3" borderId="68" xfId="0" applyFont="1" applyFill="1" applyBorder="1" applyAlignment="1">
      <alignment vertical="top"/>
    </xf>
    <xf numFmtId="0" fontId="11" fillId="3" borderId="67" xfId="0" applyFont="1" applyFill="1" applyBorder="1" applyAlignment="1">
      <alignment vertical="top"/>
    </xf>
    <xf numFmtId="0" fontId="11" fillId="3" borderId="27" xfId="0" applyFont="1" applyFill="1" applyBorder="1" applyAlignment="1">
      <alignment vertical="top"/>
    </xf>
    <xf numFmtId="0" fontId="12" fillId="5" borderId="54" xfId="0" applyFont="1" applyFill="1" applyBorder="1" applyAlignment="1">
      <alignment horizontal="center"/>
    </xf>
    <xf numFmtId="0" fontId="12" fillId="5" borderId="53" xfId="0" applyFont="1" applyFill="1" applyBorder="1" applyAlignment="1">
      <alignment horizontal="center"/>
    </xf>
    <xf numFmtId="0" fontId="3" fillId="0" borderId="15" xfId="0" applyFont="1" applyBorder="1" applyAlignment="1">
      <alignment horizontal="left"/>
    </xf>
    <xf numFmtId="0" fontId="3" fillId="0" borderId="55" xfId="0" applyFont="1" applyBorder="1" applyAlignment="1">
      <alignment horizontal="left" vertical="justify" wrapText="1"/>
    </xf>
    <xf numFmtId="0" fontId="3" fillId="0" borderId="54" xfId="0" applyFont="1" applyBorder="1" applyAlignment="1">
      <alignment horizontal="left" vertical="justify" wrapText="1"/>
    </xf>
    <xf numFmtId="0" fontId="3" fillId="0" borderId="53" xfId="0" applyFont="1" applyBorder="1" applyAlignment="1">
      <alignment horizontal="left" vertical="justify" wrapText="1"/>
    </xf>
    <xf numFmtId="0" fontId="24" fillId="0" borderId="55" xfId="0" applyFont="1" applyBorder="1" applyAlignment="1">
      <alignment horizontal="left" vertical="justify" wrapText="1"/>
    </xf>
    <xf numFmtId="0" fontId="24" fillId="0" borderId="54" xfId="0" applyFont="1" applyBorder="1" applyAlignment="1">
      <alignment horizontal="left" vertical="justify" wrapText="1"/>
    </xf>
    <xf numFmtId="0" fontId="24" fillId="0" borderId="53" xfId="0" applyFont="1" applyBorder="1" applyAlignment="1">
      <alignment horizontal="left" vertical="justify" wrapText="1"/>
    </xf>
    <xf numFmtId="0" fontId="3" fillId="0" borderId="0" xfId="0" applyFont="1" applyAlignment="1">
      <alignment horizontal="left"/>
    </xf>
    <xf numFmtId="0" fontId="3" fillId="0" borderId="10" xfId="0" applyFont="1" applyBorder="1" applyAlignment="1">
      <alignment horizontal="left"/>
    </xf>
    <xf numFmtId="0" fontId="22" fillId="2" borderId="18"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2" borderId="7" xfId="0" applyFont="1" applyFill="1" applyBorder="1" applyAlignment="1">
      <alignment horizontal="left" vertical="top" wrapText="1"/>
    </xf>
    <xf numFmtId="0" fontId="22" fillId="2" borderId="8" xfId="0" applyFont="1" applyFill="1" applyBorder="1" applyAlignment="1">
      <alignment horizontal="left" vertical="top" wrapText="1"/>
    </xf>
    <xf numFmtId="0" fontId="22" fillId="2" borderId="4" xfId="0" applyFont="1" applyFill="1" applyBorder="1" applyAlignment="1">
      <alignment horizontal="left" vertical="top" wrapText="1"/>
    </xf>
    <xf numFmtId="0" fontId="22" fillId="2" borderId="5" xfId="0" applyFont="1" applyFill="1" applyBorder="1" applyAlignment="1">
      <alignment horizontal="left" vertical="top" wrapText="1"/>
    </xf>
    <xf numFmtId="0" fontId="3" fillId="0" borderId="18"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55" xfId="0" applyFont="1" applyBorder="1" applyAlignment="1">
      <alignment horizontal="center"/>
    </xf>
    <xf numFmtId="0" fontId="3" fillId="0" borderId="54" xfId="0" applyFont="1" applyBorder="1" applyAlignment="1">
      <alignment horizontal="center"/>
    </xf>
    <xf numFmtId="0" fontId="3" fillId="0" borderId="53" xfId="0" applyFont="1" applyBorder="1" applyAlignment="1">
      <alignment horizontal="center"/>
    </xf>
    <xf numFmtId="0" fontId="3" fillId="0" borderId="55" xfId="0" applyFont="1" applyBorder="1" applyAlignment="1">
      <alignment horizontal="left" vertical="justify"/>
    </xf>
    <xf numFmtId="0" fontId="3" fillId="0" borderId="54" xfId="0" applyFont="1" applyBorder="1" applyAlignment="1">
      <alignment horizontal="left" vertical="justify"/>
    </xf>
    <xf numFmtId="0" fontId="3" fillId="0" borderId="53" xfId="0" applyFont="1" applyBorder="1" applyAlignment="1">
      <alignment horizontal="left" vertical="justify"/>
    </xf>
    <xf numFmtId="0" fontId="11" fillId="3" borderId="51" xfId="0" applyFont="1" applyFill="1" applyBorder="1" applyAlignment="1">
      <alignment horizontal="left"/>
    </xf>
    <xf numFmtId="0" fontId="11" fillId="3" borderId="66" xfId="0" applyFont="1" applyFill="1" applyBorder="1" applyAlignment="1">
      <alignment horizontal="left"/>
    </xf>
    <xf numFmtId="0" fontId="11" fillId="3" borderId="52" xfId="0" applyFont="1" applyFill="1" applyBorder="1" applyAlignment="1">
      <alignment horizontal="left"/>
    </xf>
    <xf numFmtId="0" fontId="28" fillId="0" borderId="0" xfId="0"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horizontal="left" vertical="center"/>
    </xf>
    <xf numFmtId="0" fontId="29" fillId="0" borderId="0" xfId="0" applyFont="1" applyAlignment="1">
      <alignment vertical="center" wrapText="1"/>
    </xf>
    <xf numFmtId="0" fontId="29" fillId="0" borderId="0" xfId="0" applyFont="1" applyAlignment="1">
      <alignment horizontal="center" vertical="center" wrapText="1"/>
    </xf>
  </cellXfs>
  <cellStyles count="7">
    <cellStyle name="Comma" xfId="1" builtinId="3"/>
    <cellStyle name="Currency" xfId="2" builtinId="4"/>
    <cellStyle name="Hyperlink" xfId="3" builtinId="8"/>
    <cellStyle name="Hyperlink 2" xfId="4" xr:uid="{00000000-0005-0000-0000-000003000000}"/>
    <cellStyle name="Normal" xfId="0" builtinId="0"/>
    <cellStyle name="Normal 2" xfId="5" xr:uid="{00000000-0005-0000-0000-00000500000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ekhar/Downloads/Copy%20of%20Inv%20&amp;%20othr%20forma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ORT INVOICE"/>
      <sheetName val="PACKING LIST"/>
      <sheetName val="SLI"/>
      <sheetName val="Annexure-A"/>
      <sheetName val="Annexure-1"/>
      <sheetName val="SDF Form"/>
      <sheetName val="Customs Declaration"/>
    </sheetNames>
    <sheetDataSet>
      <sheetData sheetId="0" refreshError="1">
        <row r="3">
          <cell r="A3" t="str">
            <v>SHREE HANUMAN TRADERS</v>
          </cell>
        </row>
        <row r="4">
          <cell r="A4" t="str">
            <v># 11. K.R.Shettypet</v>
          </cell>
        </row>
        <row r="5">
          <cell r="A5" t="str">
            <v>Papanna Lane</v>
          </cell>
        </row>
        <row r="6">
          <cell r="A6" t="str">
            <v>Bangalore-560 002. </v>
          </cell>
        </row>
        <row r="7">
          <cell r="A7" t="str">
            <v>Karnataka, INDIA</v>
          </cell>
        </row>
        <row r="8">
          <cell r="A8" t="str">
            <v xml:space="preserve">Ph: </v>
          </cell>
        </row>
        <row r="15">
          <cell r="F15" t="str">
            <v>India</v>
          </cell>
          <cell r="I15" t="str">
            <v>USA</v>
          </cell>
        </row>
        <row r="50">
          <cell r="L50" t="str">
            <v>For Shree Hanuman Traders</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ps.google.com/?q=11.+K.R.&amp;entry=gmail&amp;source=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6"/>
  <sheetViews>
    <sheetView tabSelected="1" zoomScaleSheetLayoutView="100" workbookViewId="0">
      <selection activeCell="F3" sqref="F3:G3"/>
    </sheetView>
  </sheetViews>
  <sheetFormatPr defaultRowHeight="15"/>
  <cols>
    <col min="1" max="1" width="7.140625" style="1" customWidth="1"/>
    <col min="2" max="2" width="10" style="1" customWidth="1"/>
    <col min="3" max="3" width="8.85546875" style="1" customWidth="1"/>
    <col min="4" max="5" width="9.140625" style="1"/>
    <col min="6" max="6" width="9.85546875" style="1" customWidth="1"/>
    <col min="7" max="7" width="8.28515625" style="1" customWidth="1"/>
    <col min="8" max="8" width="12.7109375" style="1" bestFit="1" customWidth="1"/>
    <col min="9" max="9" width="12.85546875" style="1" customWidth="1"/>
    <col min="10" max="10" width="7.140625" style="1" customWidth="1"/>
    <col min="11" max="11" width="12.28515625" style="1" customWidth="1"/>
    <col min="12" max="12" width="13.28515625" style="1" customWidth="1"/>
    <col min="13" max="16384" width="9.140625" style="1"/>
  </cols>
  <sheetData>
    <row r="1" spans="1:12" ht="19.5" thickBot="1">
      <c r="A1" s="323" t="s">
        <v>64</v>
      </c>
      <c r="B1" s="324"/>
      <c r="C1" s="324"/>
      <c r="D1" s="324"/>
      <c r="E1" s="324"/>
      <c r="F1" s="324"/>
      <c r="G1" s="324"/>
      <c r="H1" s="324"/>
      <c r="I1" s="324"/>
      <c r="J1" s="324"/>
      <c r="K1" s="324"/>
      <c r="L1" s="325"/>
    </row>
    <row r="2" spans="1:12" ht="15.75">
      <c r="A2" s="332" t="s">
        <v>26</v>
      </c>
      <c r="B2" s="333"/>
      <c r="C2" s="333"/>
      <c r="D2" s="333"/>
      <c r="E2" s="334"/>
      <c r="F2" s="337" t="s">
        <v>36</v>
      </c>
      <c r="G2" s="337"/>
      <c r="H2" s="206" t="s">
        <v>37</v>
      </c>
      <c r="I2" s="22" t="s">
        <v>0</v>
      </c>
      <c r="J2" s="36"/>
      <c r="K2" s="330" t="s">
        <v>63</v>
      </c>
      <c r="L2" s="331"/>
    </row>
    <row r="3" spans="1:12">
      <c r="A3" s="140" t="s">
        <v>73</v>
      </c>
      <c r="E3" s="4"/>
      <c r="F3" s="338" t="s">
        <v>370</v>
      </c>
      <c r="G3" s="339"/>
      <c r="H3" s="163">
        <v>45165</v>
      </c>
      <c r="I3" s="84" t="s">
        <v>78</v>
      </c>
      <c r="J3" s="6"/>
      <c r="K3" s="335" t="s">
        <v>79</v>
      </c>
      <c r="L3" s="336"/>
    </row>
    <row r="4" spans="1:12">
      <c r="A4" s="201" t="s">
        <v>74</v>
      </c>
      <c r="B4" s="27"/>
      <c r="C4" s="27"/>
      <c r="D4" s="27"/>
      <c r="E4" s="4"/>
      <c r="F4" s="340" t="s">
        <v>50</v>
      </c>
      <c r="G4" s="341"/>
      <c r="H4" s="21" t="s">
        <v>37</v>
      </c>
      <c r="I4" s="20" t="s">
        <v>233</v>
      </c>
      <c r="J4" s="23"/>
      <c r="K4" s="21" t="s">
        <v>234</v>
      </c>
      <c r="L4" s="10"/>
    </row>
    <row r="5" spans="1:12">
      <c r="A5" s="140" t="s">
        <v>75</v>
      </c>
      <c r="B5" s="27"/>
      <c r="C5" s="27"/>
      <c r="D5" s="27"/>
      <c r="E5" s="4"/>
      <c r="F5" s="342">
        <v>0</v>
      </c>
      <c r="G5" s="314"/>
      <c r="H5" s="203">
        <v>0</v>
      </c>
      <c r="I5" s="8" t="s">
        <v>394</v>
      </c>
      <c r="J5" s="6"/>
      <c r="K5" s="162">
        <v>45160</v>
      </c>
      <c r="L5" s="10"/>
    </row>
    <row r="6" spans="1:12">
      <c r="A6" s="140" t="s">
        <v>76</v>
      </c>
      <c r="B6" s="27"/>
      <c r="C6" s="27"/>
      <c r="D6" s="27"/>
      <c r="E6" s="4"/>
      <c r="F6" s="307" t="s">
        <v>1</v>
      </c>
      <c r="G6" s="308"/>
      <c r="H6" s="308"/>
      <c r="I6" s="308"/>
      <c r="J6" s="308"/>
      <c r="K6" s="308"/>
      <c r="L6" s="309"/>
    </row>
    <row r="7" spans="1:12">
      <c r="A7" s="140" t="s">
        <v>77</v>
      </c>
      <c r="B7" s="27"/>
      <c r="C7" s="27"/>
      <c r="D7" s="27"/>
      <c r="E7" s="4"/>
      <c r="F7" s="266"/>
      <c r="G7" s="267"/>
      <c r="H7" s="267"/>
      <c r="I7" s="267"/>
      <c r="J7" s="267"/>
      <c r="K7" s="267"/>
      <c r="L7" s="326"/>
    </row>
    <row r="8" spans="1:12">
      <c r="A8" s="9" t="s">
        <v>363</v>
      </c>
      <c r="B8" s="5"/>
      <c r="C8" s="5"/>
      <c r="D8" s="5"/>
      <c r="E8" s="6"/>
      <c r="F8" s="327"/>
      <c r="G8" s="328"/>
      <c r="H8" s="328"/>
      <c r="I8" s="328"/>
      <c r="J8" s="328"/>
      <c r="K8" s="328"/>
      <c r="L8" s="329"/>
    </row>
    <row r="9" spans="1:12" ht="16.5" thickBot="1">
      <c r="A9" s="286" t="s">
        <v>52</v>
      </c>
      <c r="B9" s="287"/>
      <c r="C9" s="287"/>
      <c r="D9" s="287"/>
      <c r="E9" s="288"/>
      <c r="F9" s="303" t="s">
        <v>42</v>
      </c>
      <c r="G9" s="304"/>
      <c r="H9" s="304"/>
      <c r="I9" s="304"/>
      <c r="J9" s="304"/>
      <c r="K9" s="304"/>
      <c r="L9" s="305"/>
    </row>
    <row r="10" spans="1:12" ht="15.75">
      <c r="A10" s="237" t="s">
        <v>367</v>
      </c>
      <c r="B10" s="207"/>
      <c r="C10" s="207"/>
      <c r="D10" s="207"/>
      <c r="E10" s="207"/>
      <c r="F10" s="237" t="s">
        <v>367</v>
      </c>
      <c r="G10" s="207"/>
      <c r="H10" s="207"/>
      <c r="I10" s="207"/>
      <c r="J10" s="207"/>
      <c r="K10" s="226"/>
      <c r="L10" s="227"/>
    </row>
    <row r="11" spans="1:12">
      <c r="A11" s="208" t="s">
        <v>368</v>
      </c>
      <c r="B11" s="176"/>
      <c r="C11" s="176"/>
      <c r="D11" s="176"/>
      <c r="E11" s="176"/>
      <c r="F11" s="208" t="s">
        <v>368</v>
      </c>
      <c r="G11" s="176"/>
      <c r="H11" s="176"/>
      <c r="I11" s="176"/>
      <c r="J11" s="176"/>
      <c r="K11" s="27"/>
      <c r="L11" s="37"/>
    </row>
    <row r="12" spans="1:12">
      <c r="A12" s="208" t="s">
        <v>369</v>
      </c>
      <c r="B12" s="176"/>
      <c r="C12" s="176"/>
      <c r="D12" s="176"/>
      <c r="E12" s="176"/>
      <c r="F12" s="208" t="s">
        <v>369</v>
      </c>
      <c r="G12" s="176"/>
      <c r="H12" s="176"/>
      <c r="I12" s="176"/>
      <c r="J12" s="176"/>
      <c r="K12" s="27"/>
      <c r="L12" s="37"/>
    </row>
    <row r="13" spans="1:12">
      <c r="A13" s="208" t="s">
        <v>51</v>
      </c>
      <c r="B13" s="176"/>
      <c r="C13" s="176"/>
      <c r="D13" s="176"/>
      <c r="E13" s="176"/>
      <c r="F13" s="208" t="s">
        <v>51</v>
      </c>
      <c r="G13" s="176"/>
      <c r="H13" s="176"/>
      <c r="I13" s="176"/>
      <c r="J13" s="176"/>
      <c r="K13" s="27"/>
      <c r="L13" s="37"/>
    </row>
    <row r="14" spans="1:12">
      <c r="A14" s="275" t="s">
        <v>53</v>
      </c>
      <c r="B14" s="276"/>
      <c r="C14" s="276"/>
      <c r="D14" s="276"/>
      <c r="E14" s="276"/>
      <c r="F14" s="275" t="s">
        <v>53</v>
      </c>
      <c r="G14" s="276"/>
      <c r="H14" s="276"/>
      <c r="I14" s="276"/>
      <c r="J14" s="276"/>
      <c r="K14" s="27"/>
      <c r="L14" s="37"/>
    </row>
    <row r="15" spans="1:12" ht="15.75" thickBot="1">
      <c r="A15" s="11"/>
      <c r="F15" s="316"/>
      <c r="G15" s="317"/>
      <c r="H15" s="317"/>
      <c r="I15" s="164"/>
      <c r="J15" s="164"/>
      <c r="K15" s="164"/>
      <c r="L15" s="165"/>
    </row>
    <row r="16" spans="1:12">
      <c r="A16" s="19" t="s">
        <v>4</v>
      </c>
      <c r="B16" s="23"/>
      <c r="C16" s="20" t="s">
        <v>5</v>
      </c>
      <c r="D16" s="21"/>
      <c r="E16" s="23"/>
      <c r="F16" s="22" t="s">
        <v>2</v>
      </c>
      <c r="G16" s="27"/>
      <c r="H16" s="36"/>
      <c r="I16" s="269" t="s">
        <v>3</v>
      </c>
      <c r="J16" s="270"/>
      <c r="K16" s="270"/>
      <c r="L16" s="271"/>
    </row>
    <row r="17" spans="1:12">
      <c r="A17" s="166" t="s">
        <v>66</v>
      </c>
      <c r="B17" s="6"/>
      <c r="C17" s="8"/>
      <c r="D17" s="5"/>
      <c r="E17" s="6"/>
      <c r="F17" s="272" t="s">
        <v>54</v>
      </c>
      <c r="G17" s="273"/>
      <c r="H17" s="306"/>
      <c r="I17" s="272" t="s">
        <v>51</v>
      </c>
      <c r="J17" s="273"/>
      <c r="K17" s="273"/>
      <c r="L17" s="274"/>
    </row>
    <row r="18" spans="1:12">
      <c r="A18" s="289" t="s">
        <v>9</v>
      </c>
      <c r="B18" s="290"/>
      <c r="C18" s="20" t="s">
        <v>8</v>
      </c>
      <c r="D18" s="21"/>
      <c r="E18" s="23"/>
      <c r="F18" s="320" t="s">
        <v>25</v>
      </c>
      <c r="G18" s="321"/>
      <c r="H18" s="322"/>
      <c r="I18" s="307" t="s">
        <v>11</v>
      </c>
      <c r="J18" s="308"/>
      <c r="K18" s="308"/>
      <c r="L18" s="309"/>
    </row>
    <row r="19" spans="1:12">
      <c r="A19" s="275" t="s">
        <v>391</v>
      </c>
      <c r="B19" s="302"/>
      <c r="C19" s="167" t="s">
        <v>393</v>
      </c>
      <c r="D19" s="5"/>
      <c r="E19" s="6"/>
      <c r="F19" s="17" t="s">
        <v>44</v>
      </c>
      <c r="G19" s="312"/>
      <c r="H19" s="312"/>
      <c r="I19" s="17"/>
      <c r="J19" s="312" t="s">
        <v>80</v>
      </c>
      <c r="K19" s="312"/>
      <c r="L19" s="313"/>
    </row>
    <row r="20" spans="1:12">
      <c r="A20" s="289" t="s">
        <v>7</v>
      </c>
      <c r="B20" s="290"/>
      <c r="C20" s="294" t="s">
        <v>10</v>
      </c>
      <c r="D20" s="295"/>
      <c r="E20" s="290"/>
      <c r="F20" s="17" t="s">
        <v>43</v>
      </c>
      <c r="G20" s="312"/>
      <c r="H20" s="312"/>
      <c r="I20" s="17"/>
      <c r="J20" s="312"/>
      <c r="K20" s="312"/>
      <c r="L20" s="313"/>
    </row>
    <row r="21" spans="1:12" ht="15.75" thickBot="1">
      <c r="A21" s="296"/>
      <c r="B21" s="297"/>
      <c r="C21" s="330" t="s">
        <v>391</v>
      </c>
      <c r="D21" s="337"/>
      <c r="E21" s="297"/>
      <c r="F21" s="30" t="s">
        <v>6</v>
      </c>
      <c r="G21" s="318" t="s">
        <v>31</v>
      </c>
      <c r="H21" s="319"/>
      <c r="I21" s="30"/>
      <c r="J21" s="314"/>
      <c r="K21" s="314"/>
      <c r="L21" s="315"/>
    </row>
    <row r="22" spans="1:12" ht="15.75" thickBot="1">
      <c r="A22" s="168"/>
      <c r="B22" s="169"/>
      <c r="C22" s="343" t="s">
        <v>60</v>
      </c>
      <c r="D22" s="310"/>
      <c r="E22" s="310"/>
      <c r="F22" s="310"/>
      <c r="G22" s="310"/>
      <c r="H22" s="311"/>
      <c r="I22" s="310" t="s">
        <v>61</v>
      </c>
      <c r="J22" s="310"/>
      <c r="K22" s="310"/>
      <c r="L22" s="311"/>
    </row>
    <row r="23" spans="1:12" ht="30">
      <c r="A23" s="300" t="s">
        <v>29</v>
      </c>
      <c r="B23" s="298" t="s">
        <v>30</v>
      </c>
      <c r="C23" s="280" t="s">
        <v>40</v>
      </c>
      <c r="D23" s="281"/>
      <c r="E23" s="281"/>
      <c r="F23" s="284" t="s">
        <v>67</v>
      </c>
      <c r="G23" s="24" t="s">
        <v>68</v>
      </c>
      <c r="H23" s="31" t="s">
        <v>12</v>
      </c>
      <c r="I23" s="34" t="s">
        <v>55</v>
      </c>
      <c r="J23" s="29" t="s">
        <v>57</v>
      </c>
      <c r="K23" s="24" t="s">
        <v>59</v>
      </c>
      <c r="L23" s="35" t="s">
        <v>62</v>
      </c>
    </row>
    <row r="24" spans="1:12" ht="15.75" thickBot="1">
      <c r="A24" s="301"/>
      <c r="B24" s="299"/>
      <c r="C24" s="282"/>
      <c r="D24" s="283"/>
      <c r="E24" s="283"/>
      <c r="F24" s="285"/>
      <c r="G24" s="25" t="s">
        <v>27</v>
      </c>
      <c r="H24" s="32" t="s">
        <v>27</v>
      </c>
      <c r="I24" s="205" t="s">
        <v>56</v>
      </c>
      <c r="J24" s="204" t="s">
        <v>58</v>
      </c>
      <c r="K24" s="25" t="s">
        <v>56</v>
      </c>
      <c r="L24" s="26" t="s">
        <v>56</v>
      </c>
    </row>
    <row r="25" spans="1:12">
      <c r="A25" s="38"/>
      <c r="B25" s="58"/>
      <c r="C25" s="291"/>
      <c r="D25" s="292"/>
      <c r="E25" s="293"/>
      <c r="F25" s="59"/>
      <c r="G25" s="39"/>
      <c r="H25" s="40"/>
      <c r="I25" s="46"/>
      <c r="J25" s="43"/>
      <c r="K25" s="49"/>
      <c r="L25" s="52"/>
    </row>
    <row r="26" spans="1:12">
      <c r="A26" s="85">
        <v>1</v>
      </c>
      <c r="B26" s="60">
        <v>50072090</v>
      </c>
      <c r="C26" s="266" t="s">
        <v>93</v>
      </c>
      <c r="D26" s="267"/>
      <c r="E26" s="268"/>
      <c r="F26" s="61">
        <v>1092.5999999999999</v>
      </c>
      <c r="G26" s="41">
        <v>11.5</v>
      </c>
      <c r="H26" s="42">
        <f>F26*G26</f>
        <v>12564.9</v>
      </c>
      <c r="I26" s="48"/>
      <c r="J26" s="45"/>
      <c r="K26" s="51"/>
      <c r="L26" s="53"/>
    </row>
    <row r="27" spans="1:12">
      <c r="A27" s="85">
        <v>2</v>
      </c>
      <c r="B27" s="60">
        <v>50072090</v>
      </c>
      <c r="C27" s="266" t="s">
        <v>93</v>
      </c>
      <c r="D27" s="267"/>
      <c r="E27" s="268"/>
      <c r="F27" s="61">
        <v>68.599999999999994</v>
      </c>
      <c r="G27" s="41">
        <v>10.5</v>
      </c>
      <c r="H27" s="42">
        <f t="shared" ref="H27:H29" si="0">F27*G27</f>
        <v>720.3</v>
      </c>
      <c r="I27" s="48"/>
      <c r="J27" s="45"/>
      <c r="K27" s="51"/>
      <c r="L27" s="53"/>
    </row>
    <row r="28" spans="1:12">
      <c r="A28" s="14">
        <v>3</v>
      </c>
      <c r="B28" s="60">
        <v>50072090</v>
      </c>
      <c r="C28" s="266" t="s">
        <v>93</v>
      </c>
      <c r="D28" s="267"/>
      <c r="E28" s="268"/>
      <c r="F28" s="61">
        <v>59</v>
      </c>
      <c r="G28" s="41">
        <v>9.6</v>
      </c>
      <c r="H28" s="42">
        <f t="shared" si="0"/>
        <v>566.4</v>
      </c>
      <c r="I28" s="48"/>
      <c r="J28" s="45"/>
      <c r="K28" s="51"/>
      <c r="L28" s="53"/>
    </row>
    <row r="29" spans="1:12">
      <c r="A29" s="14">
        <v>4</v>
      </c>
      <c r="B29" s="60">
        <v>50072090</v>
      </c>
      <c r="C29" s="266" t="s">
        <v>93</v>
      </c>
      <c r="D29" s="267"/>
      <c r="E29" s="268"/>
      <c r="F29" s="61">
        <v>48</v>
      </c>
      <c r="G29" s="41">
        <v>12.15</v>
      </c>
      <c r="H29" s="42">
        <f t="shared" si="0"/>
        <v>583.20000000000005</v>
      </c>
      <c r="I29" s="48"/>
      <c r="J29" s="45"/>
      <c r="K29" s="51"/>
      <c r="L29" s="53"/>
    </row>
    <row r="30" spans="1:12">
      <c r="A30" s="14"/>
      <c r="B30" s="60"/>
      <c r="F30" s="61"/>
      <c r="G30" s="41"/>
      <c r="H30" s="42"/>
      <c r="I30" s="48"/>
      <c r="J30" s="45"/>
      <c r="K30" s="51"/>
      <c r="L30" s="53"/>
    </row>
    <row r="31" spans="1:12">
      <c r="A31" s="14"/>
      <c r="B31" s="60"/>
      <c r="C31" s="266"/>
      <c r="D31" s="267"/>
      <c r="E31" s="268"/>
      <c r="F31" s="61"/>
      <c r="G31" s="41"/>
      <c r="H31" s="42"/>
      <c r="I31" s="48"/>
      <c r="J31" s="45"/>
      <c r="K31" s="51"/>
      <c r="L31" s="53"/>
    </row>
    <row r="32" spans="1:12">
      <c r="A32" s="14"/>
      <c r="B32" s="60"/>
      <c r="C32" s="266" t="s">
        <v>72</v>
      </c>
      <c r="D32" s="267"/>
      <c r="E32" s="268"/>
      <c r="F32" s="61"/>
      <c r="G32" s="41"/>
      <c r="H32" s="42"/>
      <c r="I32" s="48"/>
      <c r="J32" s="45"/>
      <c r="K32" s="51"/>
      <c r="L32" s="53"/>
    </row>
    <row r="33" spans="1:12">
      <c r="A33" s="14"/>
      <c r="B33" s="60"/>
      <c r="C33" s="277" t="s">
        <v>232</v>
      </c>
      <c r="D33" s="278"/>
      <c r="E33" s="279"/>
      <c r="F33" s="61"/>
      <c r="G33" s="41"/>
      <c r="H33" s="42"/>
      <c r="I33" s="48"/>
      <c r="J33" s="45"/>
      <c r="K33" s="51"/>
      <c r="L33" s="53"/>
    </row>
    <row r="34" spans="1:12">
      <c r="A34" s="14"/>
      <c r="B34" s="60"/>
      <c r="C34" s="266" t="s">
        <v>364</v>
      </c>
      <c r="D34" s="267"/>
      <c r="E34" s="268"/>
      <c r="F34" s="61"/>
      <c r="G34" s="41"/>
      <c r="H34" s="42"/>
      <c r="I34" s="48"/>
      <c r="J34" s="45"/>
      <c r="K34" s="51"/>
      <c r="L34" s="53"/>
    </row>
    <row r="35" spans="1:12">
      <c r="A35" s="14"/>
      <c r="B35" s="60"/>
      <c r="C35" s="266"/>
      <c r="D35" s="267"/>
      <c r="E35" s="268"/>
      <c r="F35" s="61"/>
      <c r="G35" s="41"/>
      <c r="H35" s="42"/>
      <c r="I35" s="48"/>
      <c r="J35" s="45"/>
      <c r="K35" s="51"/>
      <c r="L35" s="53"/>
    </row>
    <row r="36" spans="1:12">
      <c r="A36" s="14"/>
      <c r="B36" s="60"/>
      <c r="C36" s="266"/>
      <c r="D36" s="267"/>
      <c r="E36" s="268"/>
      <c r="F36" s="61"/>
      <c r="G36" s="41"/>
      <c r="H36" s="42"/>
      <c r="I36" s="48"/>
      <c r="J36" s="45"/>
      <c r="K36" s="51"/>
      <c r="L36" s="53"/>
    </row>
    <row r="37" spans="1:12">
      <c r="A37" s="14"/>
      <c r="B37" s="60"/>
      <c r="C37" s="266"/>
      <c r="D37" s="267"/>
      <c r="E37" s="268"/>
      <c r="F37" s="61"/>
      <c r="G37" s="41"/>
      <c r="H37" s="42"/>
      <c r="I37" s="48"/>
      <c r="J37" s="45"/>
      <c r="K37" s="51"/>
      <c r="L37" s="53"/>
    </row>
    <row r="38" spans="1:12">
      <c r="A38" s="14"/>
      <c r="B38" s="60"/>
      <c r="C38" s="266"/>
      <c r="D38" s="267"/>
      <c r="E38" s="268"/>
      <c r="F38" s="61"/>
      <c r="G38" s="41"/>
      <c r="H38" s="42"/>
      <c r="I38" s="48"/>
      <c r="J38" s="45"/>
      <c r="K38" s="51"/>
      <c r="L38" s="53"/>
    </row>
    <row r="39" spans="1:12">
      <c r="A39" s="14"/>
      <c r="B39" s="60"/>
      <c r="C39" s="266"/>
      <c r="D39" s="267"/>
      <c r="E39" s="268"/>
      <c r="F39" s="61"/>
      <c r="G39" s="41"/>
      <c r="H39" s="42"/>
      <c r="I39" s="48"/>
      <c r="J39" s="45"/>
      <c r="K39" s="51"/>
      <c r="L39" s="53"/>
    </row>
    <row r="40" spans="1:12">
      <c r="A40" s="14"/>
      <c r="B40" s="60"/>
      <c r="C40" s="266"/>
      <c r="D40" s="267"/>
      <c r="E40" s="268"/>
      <c r="F40" s="61"/>
      <c r="G40" s="41"/>
      <c r="H40" s="42"/>
      <c r="I40" s="48"/>
      <c r="J40" s="45"/>
      <c r="K40" s="51"/>
      <c r="L40" s="53"/>
    </row>
    <row r="41" spans="1:12">
      <c r="A41" s="14"/>
      <c r="B41" s="60"/>
      <c r="C41" s="266"/>
      <c r="D41" s="267"/>
      <c r="E41" s="268"/>
      <c r="F41" s="61"/>
      <c r="G41" s="41"/>
      <c r="H41" s="42"/>
      <c r="I41" s="48"/>
      <c r="J41" s="45"/>
      <c r="K41" s="51"/>
      <c r="L41" s="53"/>
    </row>
    <row r="42" spans="1:12">
      <c r="A42" s="14"/>
      <c r="B42" s="60"/>
      <c r="C42" s="266"/>
      <c r="D42" s="267"/>
      <c r="E42" s="268"/>
      <c r="F42" s="61"/>
      <c r="G42" s="41"/>
      <c r="H42" s="42"/>
      <c r="I42" s="48"/>
      <c r="J42" s="45"/>
      <c r="K42" s="51"/>
      <c r="L42" s="53"/>
    </row>
    <row r="43" spans="1:12">
      <c r="A43" s="14"/>
      <c r="B43" s="60"/>
      <c r="C43" s="266"/>
      <c r="D43" s="267"/>
      <c r="E43" s="268"/>
      <c r="F43" s="61"/>
      <c r="G43" s="41"/>
      <c r="H43" s="42"/>
      <c r="I43" s="48"/>
      <c r="J43" s="45"/>
      <c r="K43" s="51"/>
      <c r="L43" s="53"/>
    </row>
    <row r="44" spans="1:12">
      <c r="A44" s="14"/>
      <c r="B44" s="60"/>
      <c r="C44" s="266"/>
      <c r="D44" s="267"/>
      <c r="E44" s="268"/>
      <c r="F44" s="61"/>
      <c r="G44" s="41"/>
      <c r="H44" s="42"/>
      <c r="I44" s="48"/>
      <c r="J44" s="45"/>
      <c r="K44" s="51"/>
      <c r="L44" s="53"/>
    </row>
    <row r="45" spans="1:12">
      <c r="A45" s="14"/>
      <c r="B45" s="60"/>
      <c r="C45" s="266"/>
      <c r="D45" s="267"/>
      <c r="E45" s="268"/>
      <c r="F45" s="61"/>
      <c r="G45" s="41"/>
      <c r="H45" s="42"/>
      <c r="I45" s="48"/>
      <c r="J45" s="45"/>
      <c r="K45" s="51"/>
      <c r="L45" s="53"/>
    </row>
    <row r="46" spans="1:12">
      <c r="A46" s="14"/>
      <c r="B46" s="60"/>
      <c r="C46" s="266"/>
      <c r="D46" s="267"/>
      <c r="E46" s="268"/>
      <c r="F46" s="61"/>
      <c r="G46" s="41"/>
      <c r="H46" s="42"/>
      <c r="I46" s="47"/>
      <c r="J46" s="44"/>
      <c r="K46" s="50"/>
      <c r="L46" s="53"/>
    </row>
    <row r="47" spans="1:12">
      <c r="A47" s="62"/>
      <c r="B47" s="63"/>
      <c r="C47" s="327"/>
      <c r="D47" s="328"/>
      <c r="E47" s="353"/>
      <c r="F47" s="64"/>
      <c r="G47" s="65"/>
      <c r="H47" s="66"/>
      <c r="I47" s="67"/>
      <c r="J47" s="68"/>
      <c r="K47" s="69"/>
      <c r="L47" s="70"/>
    </row>
    <row r="48" spans="1:12" ht="15.75" thickBot="1">
      <c r="A48" s="14"/>
      <c r="B48" s="33"/>
      <c r="C48" s="360" t="s">
        <v>90</v>
      </c>
      <c r="D48" s="361"/>
      <c r="E48" s="362"/>
      <c r="F48" s="100">
        <f>SUM(F26:F47)</f>
        <v>1268.1999999999998</v>
      </c>
      <c r="G48" s="101"/>
      <c r="H48" s="102">
        <f>SUM(H25:H47)</f>
        <v>14434.8</v>
      </c>
      <c r="I48" s="48">
        <f>SUM(I26:I47)</f>
        <v>0</v>
      </c>
      <c r="J48" s="44"/>
      <c r="K48" s="48">
        <f>SUM(K26:K47)</f>
        <v>0</v>
      </c>
      <c r="L48" s="170">
        <f>SUM(L26:L47)</f>
        <v>0</v>
      </c>
    </row>
    <row r="49" spans="1:12" ht="15.75" thickBot="1">
      <c r="A49" s="358" t="s">
        <v>92</v>
      </c>
      <c r="B49" s="359"/>
      <c r="C49" s="359"/>
      <c r="D49" s="363" t="s">
        <v>392</v>
      </c>
      <c r="E49" s="364"/>
      <c r="F49" s="364"/>
      <c r="G49" s="364"/>
      <c r="H49" s="364"/>
      <c r="I49" s="364"/>
      <c r="J49" s="364"/>
      <c r="K49" s="364"/>
      <c r="L49" s="365"/>
    </row>
    <row r="50" spans="1:12" ht="15.75" thickBot="1">
      <c r="A50" s="174" t="s">
        <v>94</v>
      </c>
      <c r="B50" s="175"/>
      <c r="C50" s="175"/>
      <c r="D50" s="348" t="s">
        <v>229</v>
      </c>
      <c r="E50" s="349"/>
      <c r="F50" s="349"/>
      <c r="G50" s="349"/>
      <c r="H50" s="349"/>
      <c r="I50" s="349"/>
      <c r="J50" s="349"/>
      <c r="K50" s="349"/>
      <c r="L50" s="350"/>
    </row>
    <row r="51" spans="1:12">
      <c r="A51" s="354" t="s">
        <v>47</v>
      </c>
      <c r="B51" s="355"/>
      <c r="C51" s="356" t="s">
        <v>84</v>
      </c>
      <c r="D51" s="356"/>
      <c r="E51" s="357" t="s">
        <v>65</v>
      </c>
      <c r="F51" s="340"/>
      <c r="G51" s="55" t="s">
        <v>85</v>
      </c>
      <c r="H51" s="83"/>
      <c r="L51" s="10"/>
    </row>
    <row r="52" spans="1:12" ht="15.75">
      <c r="A52" s="351" t="s">
        <v>46</v>
      </c>
      <c r="B52" s="352"/>
      <c r="C52" s="54" t="s">
        <v>86</v>
      </c>
      <c r="D52" s="54"/>
      <c r="E52" s="177" t="s">
        <v>87</v>
      </c>
      <c r="F52" s="202"/>
      <c r="G52" s="177" t="s">
        <v>88</v>
      </c>
      <c r="H52" s="56"/>
      <c r="I52" s="27"/>
      <c r="J52" s="27"/>
      <c r="K52" s="171"/>
      <c r="L52" s="96" t="s">
        <v>89</v>
      </c>
    </row>
    <row r="53" spans="1:12" ht="15.75">
      <c r="A53" s="344" t="s">
        <v>91</v>
      </c>
      <c r="B53" s="345"/>
      <c r="C53" s="346" t="s">
        <v>78</v>
      </c>
      <c r="D53" s="347"/>
      <c r="E53" s="176"/>
      <c r="G53" s="176"/>
      <c r="H53" s="178"/>
      <c r="I53" s="27"/>
      <c r="J53" s="27"/>
      <c r="K53" s="171"/>
      <c r="L53" s="96"/>
    </row>
    <row r="54" spans="1:12" ht="15.75">
      <c r="A54" s="7" t="s">
        <v>13</v>
      </c>
      <c r="H54" s="37"/>
      <c r="I54" s="27"/>
      <c r="J54" s="27"/>
      <c r="K54" s="172"/>
      <c r="L54" s="10"/>
    </row>
    <row r="55" spans="1:12" ht="15.75">
      <c r="A55" s="11" t="s">
        <v>49</v>
      </c>
      <c r="H55" s="37"/>
      <c r="I55" s="27"/>
      <c r="J55" s="27"/>
      <c r="K55" s="173"/>
      <c r="L55" s="10"/>
    </row>
    <row r="56" spans="1:12" ht="16.5" thickBot="1">
      <c r="A56" s="12" t="s">
        <v>48</v>
      </c>
      <c r="B56" s="13"/>
      <c r="C56" s="13"/>
      <c r="D56" s="13"/>
      <c r="E56" s="13"/>
      <c r="F56" s="13"/>
      <c r="G56" s="13"/>
      <c r="H56" s="57"/>
      <c r="I56" s="97"/>
      <c r="J56" s="97"/>
      <c r="K56" s="98"/>
      <c r="L56" s="99" t="s">
        <v>69</v>
      </c>
    </row>
  </sheetData>
  <mergeCells count="71">
    <mergeCell ref="A53:B53"/>
    <mergeCell ref="C53:D53"/>
    <mergeCell ref="D50:L50"/>
    <mergeCell ref="A52:B52"/>
    <mergeCell ref="C40:E40"/>
    <mergeCell ref="C41:E41"/>
    <mergeCell ref="C47:E47"/>
    <mergeCell ref="A51:B51"/>
    <mergeCell ref="C51:D51"/>
    <mergeCell ref="E51:F51"/>
    <mergeCell ref="A49:C49"/>
    <mergeCell ref="C48:E48"/>
    <mergeCell ref="D49:L49"/>
    <mergeCell ref="C46:E46"/>
    <mergeCell ref="C45:E45"/>
    <mergeCell ref="C44:E44"/>
    <mergeCell ref="C27:E27"/>
    <mergeCell ref="C21:E21"/>
    <mergeCell ref="C22:H22"/>
    <mergeCell ref="C31:E31"/>
    <mergeCell ref="C28:E28"/>
    <mergeCell ref="C29:E29"/>
    <mergeCell ref="A1:L1"/>
    <mergeCell ref="F7:L7"/>
    <mergeCell ref="F8:L8"/>
    <mergeCell ref="K2:L2"/>
    <mergeCell ref="A2:E2"/>
    <mergeCell ref="F6:L6"/>
    <mergeCell ref="K3:L3"/>
    <mergeCell ref="F2:G2"/>
    <mergeCell ref="F3:G3"/>
    <mergeCell ref="F4:G4"/>
    <mergeCell ref="F5:G5"/>
    <mergeCell ref="F9:L9"/>
    <mergeCell ref="F17:H17"/>
    <mergeCell ref="I18:L18"/>
    <mergeCell ref="F14:J14"/>
    <mergeCell ref="I22:L22"/>
    <mergeCell ref="J19:L19"/>
    <mergeCell ref="J21:L21"/>
    <mergeCell ref="J20:L20"/>
    <mergeCell ref="F15:H15"/>
    <mergeCell ref="G19:H19"/>
    <mergeCell ref="G20:H20"/>
    <mergeCell ref="G21:H21"/>
    <mergeCell ref="F18:H18"/>
    <mergeCell ref="A9:E9"/>
    <mergeCell ref="A18:B18"/>
    <mergeCell ref="A20:B20"/>
    <mergeCell ref="C25:E25"/>
    <mergeCell ref="C20:E20"/>
    <mergeCell ref="A21:B21"/>
    <mergeCell ref="B23:B24"/>
    <mergeCell ref="A23:A24"/>
    <mergeCell ref="A19:B19"/>
    <mergeCell ref="C36:E36"/>
    <mergeCell ref="I16:L16"/>
    <mergeCell ref="I17:L17"/>
    <mergeCell ref="C43:E43"/>
    <mergeCell ref="A14:E14"/>
    <mergeCell ref="C37:E37"/>
    <mergeCell ref="C38:E38"/>
    <mergeCell ref="C39:E39"/>
    <mergeCell ref="C33:E33"/>
    <mergeCell ref="C42:E42"/>
    <mergeCell ref="C35:E35"/>
    <mergeCell ref="C23:E24"/>
    <mergeCell ref="F23:F24"/>
    <mergeCell ref="C32:E32"/>
    <mergeCell ref="C34:E34"/>
    <mergeCell ref="C26:E26"/>
  </mergeCells>
  <phoneticPr fontId="0" type="noConversion"/>
  <hyperlinks>
    <hyperlink ref="A4" r:id="rId1" display="https://maps.google.com/?q=11.+K.R.&amp;entry=gmail&amp;source=g" xr:uid="{00000000-0004-0000-0000-000000000000}"/>
  </hyperlinks>
  <printOptions horizontalCentered="1" verticalCentered="1"/>
  <pageMargins left="0.43307086614173229" right="0.23622047244094491" top="0.23622047244094491" bottom="0.23622047244094491" header="0.31496062992125984" footer="0.31496062992125984"/>
  <pageSetup paperSize="9" scale="81" orientation="portrait" r:id="rId2"/>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72"/>
  <sheetViews>
    <sheetView topLeftCell="A41" zoomScaleNormal="100" zoomScaleSheetLayoutView="90" workbookViewId="0">
      <selection activeCell="P48" sqref="P48"/>
    </sheetView>
  </sheetViews>
  <sheetFormatPr defaultRowHeight="12.75"/>
  <cols>
    <col min="1" max="1" width="7.42578125" customWidth="1"/>
    <col min="2" max="2" width="8.7109375" customWidth="1"/>
    <col min="3" max="3" width="7" customWidth="1"/>
    <col min="4" max="4" width="8.28515625" bestFit="1" customWidth="1"/>
    <col min="5" max="5" width="2.140625" bestFit="1" customWidth="1"/>
    <col min="6" max="6" width="15.28515625" customWidth="1"/>
    <col min="7" max="7" width="16.7109375" customWidth="1"/>
    <col min="8" max="8" width="12.140625" customWidth="1"/>
    <col min="9" max="9" width="8.42578125" customWidth="1"/>
    <col min="10" max="10" width="11.140625" customWidth="1"/>
    <col min="11" max="11" width="9.5703125" customWidth="1"/>
  </cols>
  <sheetData>
    <row r="1" spans="1:12" ht="15.75" thickBot="1">
      <c r="A1" s="378" t="s">
        <v>14</v>
      </c>
      <c r="B1" s="310"/>
      <c r="C1" s="310"/>
      <c r="D1" s="310"/>
      <c r="E1" s="310"/>
      <c r="F1" s="379"/>
      <c r="G1" s="379"/>
      <c r="H1" s="379"/>
      <c r="I1" s="379"/>
      <c r="J1" s="379"/>
      <c r="K1" s="379"/>
      <c r="L1" s="380"/>
    </row>
    <row r="2" spans="1:12" ht="15.75">
      <c r="A2" s="210" t="s">
        <v>26</v>
      </c>
      <c r="B2" s="2"/>
      <c r="C2" s="2"/>
      <c r="D2" s="2"/>
      <c r="E2" s="2"/>
      <c r="F2" s="86" t="s">
        <v>36</v>
      </c>
      <c r="G2" s="209"/>
      <c r="H2" s="87" t="s">
        <v>37</v>
      </c>
      <c r="I2" s="88" t="s">
        <v>0</v>
      </c>
      <c r="J2" s="88"/>
      <c r="K2" s="381" t="s">
        <v>63</v>
      </c>
      <c r="L2" s="382"/>
    </row>
    <row r="3" spans="1:12" ht="15">
      <c r="A3" s="3" t="str">
        <f>'[1]EXPORT INVOICE'!A3</f>
        <v>SHREE HANUMAN TRADERS</v>
      </c>
      <c r="B3" s="1"/>
      <c r="C3" s="1"/>
      <c r="D3" s="1"/>
      <c r="E3" s="1"/>
      <c r="F3" s="211" t="s">
        <v>370</v>
      </c>
      <c r="G3" s="212"/>
      <c r="H3" s="163">
        <v>45165</v>
      </c>
      <c r="I3" s="89" t="s">
        <v>78</v>
      </c>
      <c r="J3" s="1"/>
      <c r="K3" s="383" t="s">
        <v>79</v>
      </c>
      <c r="L3" s="384"/>
    </row>
    <row r="4" spans="1:12" ht="15">
      <c r="A4" s="3" t="str">
        <f>'[1]EXPORT INVOICE'!A4</f>
        <v># 11. K.R.Shettypet</v>
      </c>
      <c r="B4" s="27"/>
      <c r="C4" s="27"/>
      <c r="D4" s="27"/>
      <c r="E4" s="1"/>
      <c r="F4" s="208" t="s">
        <v>38</v>
      </c>
      <c r="G4" s="176"/>
      <c r="H4" s="90" t="s">
        <v>37</v>
      </c>
      <c r="I4" s="75"/>
      <c r="J4" s="75"/>
      <c r="K4" s="75"/>
      <c r="L4" s="15"/>
    </row>
    <row r="5" spans="1:12" ht="15">
      <c r="A5" s="11" t="str">
        <f>'[1]EXPORT INVOICE'!A5</f>
        <v>Papanna Lane</v>
      </c>
      <c r="B5" s="27"/>
      <c r="C5" s="27"/>
      <c r="D5" s="27"/>
      <c r="E5" s="1"/>
      <c r="F5" s="213"/>
      <c r="G5" s="203"/>
      <c r="H5" s="73"/>
      <c r="I5" s="75"/>
      <c r="J5" s="75"/>
      <c r="K5" s="75"/>
      <c r="L5" s="15"/>
    </row>
    <row r="6" spans="1:12" ht="15">
      <c r="A6" s="11" t="str">
        <f>'[1]EXPORT INVOICE'!A6</f>
        <v>Bangalore-560 002. </v>
      </c>
      <c r="B6" s="27"/>
      <c r="C6" s="27"/>
      <c r="D6" s="27"/>
      <c r="E6" s="1"/>
      <c r="F6" s="7" t="s">
        <v>1</v>
      </c>
      <c r="G6" s="1"/>
      <c r="H6" s="73"/>
      <c r="I6" s="73"/>
      <c r="J6" s="73"/>
      <c r="K6" s="73"/>
      <c r="L6" s="15"/>
    </row>
    <row r="7" spans="1:12" ht="15">
      <c r="A7" s="11" t="str">
        <f>'[1]EXPORT INVOICE'!A7</f>
        <v>Karnataka, INDIA</v>
      </c>
      <c r="B7" s="27"/>
      <c r="C7" s="27"/>
      <c r="D7" s="27"/>
      <c r="E7" s="1"/>
      <c r="F7" s="213"/>
      <c r="G7" s="203"/>
      <c r="H7" s="203"/>
      <c r="I7" s="203"/>
      <c r="J7" s="203"/>
      <c r="K7" s="203"/>
      <c r="L7" s="15"/>
    </row>
    <row r="8" spans="1:12" ht="15.75" thickBot="1">
      <c r="A8" s="11" t="str">
        <f>'[1]EXPORT INVOICE'!A8</f>
        <v xml:space="preserve">Ph: </v>
      </c>
      <c r="B8" s="1"/>
      <c r="C8" s="1"/>
      <c r="D8" s="1"/>
      <c r="E8" s="1"/>
      <c r="F8" s="213"/>
      <c r="G8" s="203"/>
      <c r="H8" s="203"/>
      <c r="I8" s="203"/>
      <c r="J8" s="203"/>
      <c r="K8" s="203"/>
      <c r="L8" s="15"/>
    </row>
    <row r="9" spans="1:12" ht="16.5" thickBot="1">
      <c r="A9" s="231" t="s">
        <v>41</v>
      </c>
      <c r="B9" s="2"/>
      <c r="C9" s="2"/>
      <c r="D9" s="2"/>
      <c r="E9" s="236"/>
      <c r="F9" s="231" t="s">
        <v>42</v>
      </c>
      <c r="G9" s="2"/>
      <c r="H9" s="232"/>
      <c r="I9" s="232"/>
      <c r="J9" s="233"/>
      <c r="K9" s="232"/>
      <c r="L9" s="234"/>
    </row>
    <row r="10" spans="1:12" ht="15">
      <c r="A10" s="237" t="s">
        <v>367</v>
      </c>
      <c r="B10" s="207"/>
      <c r="C10" s="207"/>
      <c r="D10" s="207"/>
      <c r="E10" s="207"/>
      <c r="F10" s="86"/>
      <c r="G10" s="209"/>
      <c r="H10" s="209"/>
      <c r="I10" s="209"/>
      <c r="J10" s="209"/>
      <c r="K10" s="75"/>
      <c r="L10" s="76"/>
    </row>
    <row r="11" spans="1:12" ht="15">
      <c r="A11" s="208" t="s">
        <v>368</v>
      </c>
      <c r="B11" s="176"/>
      <c r="C11" s="176"/>
      <c r="D11" s="176"/>
      <c r="E11" s="176"/>
      <c r="F11" s="208"/>
      <c r="G11" s="176"/>
      <c r="H11" s="176"/>
      <c r="I11" s="176"/>
      <c r="J11" s="176"/>
      <c r="K11" s="75"/>
      <c r="L11" s="76"/>
    </row>
    <row r="12" spans="1:12" ht="15">
      <c r="A12" s="208" t="s">
        <v>369</v>
      </c>
      <c r="B12" s="176"/>
      <c r="C12" s="176"/>
      <c r="D12" s="176"/>
      <c r="E12" s="176"/>
      <c r="F12" s="208"/>
      <c r="G12" s="176"/>
      <c r="H12" s="176"/>
      <c r="I12" s="176"/>
      <c r="J12" s="176"/>
      <c r="K12" s="75"/>
      <c r="L12" s="76"/>
    </row>
    <row r="13" spans="1:12" ht="15">
      <c r="A13" s="208" t="s">
        <v>51</v>
      </c>
      <c r="B13" s="176"/>
      <c r="C13" s="176"/>
      <c r="D13" s="176"/>
      <c r="E13" s="176"/>
      <c r="F13" s="208"/>
      <c r="G13" s="176"/>
      <c r="H13" s="176"/>
      <c r="I13" s="176"/>
      <c r="J13" s="176"/>
      <c r="K13" s="75"/>
      <c r="L13" s="76"/>
    </row>
    <row r="14" spans="1:12" ht="15">
      <c r="A14" s="208"/>
      <c r="B14" s="176"/>
      <c r="C14" s="176"/>
      <c r="D14" s="176"/>
      <c r="E14" s="176"/>
      <c r="F14" s="296"/>
      <c r="G14" s="337"/>
      <c r="H14" s="337"/>
      <c r="I14" s="337"/>
      <c r="J14" s="337"/>
      <c r="K14" s="75"/>
      <c r="L14" s="76"/>
    </row>
    <row r="15" spans="1:12" ht="15.75" thickBot="1">
      <c r="A15" s="275" t="s">
        <v>53</v>
      </c>
      <c r="B15" s="276"/>
      <c r="C15" s="276"/>
      <c r="D15" s="276"/>
      <c r="E15" s="276"/>
      <c r="F15" s="316"/>
      <c r="G15" s="317"/>
      <c r="H15" s="317"/>
      <c r="I15" s="164"/>
      <c r="J15" s="164"/>
      <c r="K15" s="81"/>
      <c r="L15" s="235"/>
    </row>
    <row r="16" spans="1:12" ht="15">
      <c r="A16" s="7" t="s">
        <v>4</v>
      </c>
      <c r="B16" s="36"/>
      <c r="C16" s="22" t="s">
        <v>5</v>
      </c>
      <c r="D16" s="27"/>
      <c r="E16" s="36"/>
      <c r="F16" s="27"/>
      <c r="G16" s="22" t="s">
        <v>2</v>
      </c>
      <c r="H16" s="27"/>
      <c r="I16" s="228"/>
      <c r="J16" s="229" t="s">
        <v>3</v>
      </c>
      <c r="K16" s="90"/>
      <c r="L16" s="230"/>
    </row>
    <row r="17" spans="1:13" ht="15.75" thickBot="1">
      <c r="A17" s="9"/>
      <c r="B17" s="6"/>
      <c r="C17" s="8"/>
      <c r="D17" s="5"/>
      <c r="E17" s="6"/>
      <c r="F17" s="1"/>
      <c r="G17" s="167" t="str">
        <f>'[1]EXPORT INVOICE'!F15</f>
        <v>India</v>
      </c>
      <c r="H17" s="5"/>
      <c r="I17" s="74"/>
      <c r="J17" s="214" t="str">
        <f>'[1]EXPORT INVOICE'!I15</f>
        <v>USA</v>
      </c>
      <c r="K17" s="71"/>
      <c r="L17" s="72"/>
    </row>
    <row r="18" spans="1:13" ht="15">
      <c r="A18" s="19" t="s">
        <v>7</v>
      </c>
      <c r="B18" s="23"/>
      <c r="C18" s="20" t="s">
        <v>8</v>
      </c>
      <c r="D18" s="21"/>
      <c r="E18" s="21"/>
      <c r="F18" s="91"/>
      <c r="G18" s="321" t="s">
        <v>45</v>
      </c>
      <c r="H18" s="321"/>
      <c r="I18" s="321"/>
      <c r="J18" s="321"/>
      <c r="K18" s="321"/>
      <c r="L18" s="385"/>
    </row>
    <row r="19" spans="1:13" ht="15">
      <c r="A19" s="9"/>
      <c r="B19" s="6"/>
      <c r="C19" s="167" t="s">
        <v>393</v>
      </c>
      <c r="D19" s="5"/>
      <c r="E19" s="5"/>
      <c r="F19" s="92"/>
      <c r="G19" s="308"/>
      <c r="H19" s="308"/>
      <c r="I19" s="308"/>
      <c r="J19" s="308"/>
      <c r="K19" s="308"/>
      <c r="L19" s="309"/>
    </row>
    <row r="20" spans="1:13" ht="15">
      <c r="A20" s="19" t="s">
        <v>9</v>
      </c>
      <c r="B20" s="23"/>
      <c r="C20" s="20" t="s">
        <v>10</v>
      </c>
      <c r="D20" s="21"/>
      <c r="E20" s="21"/>
      <c r="F20" s="93"/>
      <c r="G20" s="270"/>
      <c r="H20" s="270"/>
      <c r="I20" s="270"/>
      <c r="J20" s="270"/>
      <c r="K20" s="270"/>
      <c r="L20" s="271"/>
    </row>
    <row r="21" spans="1:13" ht="15.75" thickBot="1">
      <c r="A21" s="275" t="s">
        <v>391</v>
      </c>
      <c r="B21" s="302"/>
      <c r="C21" s="330" t="s">
        <v>391</v>
      </c>
      <c r="D21" s="337"/>
      <c r="E21" s="297"/>
      <c r="F21" s="94"/>
      <c r="G21" s="386"/>
      <c r="H21" s="386"/>
      <c r="I21" s="386"/>
      <c r="J21" s="386"/>
      <c r="K21" s="386"/>
      <c r="L21" s="387"/>
    </row>
    <row r="22" spans="1:13" ht="45.75" thickBot="1">
      <c r="A22" s="259" t="s">
        <v>29</v>
      </c>
      <c r="B22" s="388" t="s">
        <v>32</v>
      </c>
      <c r="C22" s="388"/>
      <c r="D22" s="388" t="s">
        <v>81</v>
      </c>
      <c r="E22" s="388"/>
      <c r="F22" s="260" t="s">
        <v>82</v>
      </c>
      <c r="G22" s="261" t="s">
        <v>34</v>
      </c>
      <c r="H22" s="261" t="s">
        <v>33</v>
      </c>
      <c r="I22" s="261" t="s">
        <v>35</v>
      </c>
      <c r="J22" s="261" t="s">
        <v>70</v>
      </c>
      <c r="K22" s="388" t="s">
        <v>71</v>
      </c>
      <c r="L22" s="389"/>
    </row>
    <row r="23" spans="1:13" ht="15">
      <c r="A23" s="257">
        <v>1</v>
      </c>
      <c r="B23" s="377" t="s">
        <v>387</v>
      </c>
      <c r="C23" s="377"/>
      <c r="D23" s="377" t="s">
        <v>83</v>
      </c>
      <c r="E23" s="377"/>
      <c r="F23" s="223"/>
      <c r="G23" s="250">
        <v>34.700000000000003</v>
      </c>
      <c r="H23" s="219">
        <v>3.34</v>
      </c>
      <c r="I23" s="262"/>
      <c r="J23" s="390">
        <v>35.799999999999997</v>
      </c>
      <c r="K23" s="263"/>
      <c r="L23" s="264"/>
    </row>
    <row r="24" spans="1:13" ht="15">
      <c r="A24" s="257">
        <v>2</v>
      </c>
      <c r="B24" s="377" t="s">
        <v>387</v>
      </c>
      <c r="C24" s="377"/>
      <c r="D24" s="377" t="s">
        <v>83</v>
      </c>
      <c r="E24" s="377"/>
      <c r="F24" s="223"/>
      <c r="G24" s="250">
        <v>34.299999999999997</v>
      </c>
      <c r="H24" s="219">
        <v>3.29</v>
      </c>
      <c r="I24" s="262"/>
      <c r="J24" s="391"/>
      <c r="K24" s="263"/>
      <c r="L24" s="264"/>
    </row>
    <row r="25" spans="1:13" ht="15">
      <c r="A25" s="257">
        <v>3</v>
      </c>
      <c r="B25" s="377" t="s">
        <v>380</v>
      </c>
      <c r="C25" s="377"/>
      <c r="D25" s="377" t="s">
        <v>83</v>
      </c>
      <c r="E25" s="377"/>
      <c r="F25" s="223"/>
      <c r="G25" s="250">
        <v>36.6</v>
      </c>
      <c r="H25" s="258">
        <v>3.6</v>
      </c>
      <c r="I25" s="367"/>
      <c r="J25" s="391"/>
      <c r="K25" s="249"/>
      <c r="L25" s="222"/>
      <c r="M25" s="220"/>
    </row>
    <row r="26" spans="1:13" ht="15">
      <c r="A26" s="215">
        <v>4</v>
      </c>
      <c r="B26" s="366" t="s">
        <v>380</v>
      </c>
      <c r="C26" s="366"/>
      <c r="D26" s="366" t="s">
        <v>83</v>
      </c>
      <c r="E26" s="366"/>
      <c r="F26" s="223"/>
      <c r="G26" s="218">
        <v>32.700000000000003</v>
      </c>
      <c r="H26" s="219">
        <v>3.39</v>
      </c>
      <c r="I26" s="367"/>
      <c r="J26" s="391"/>
      <c r="K26" s="249"/>
      <c r="L26" s="222"/>
      <c r="M26" s="220"/>
    </row>
    <row r="27" spans="1:13" ht="15">
      <c r="A27" s="215">
        <v>5</v>
      </c>
      <c r="B27" s="366" t="s">
        <v>380</v>
      </c>
      <c r="C27" s="366"/>
      <c r="D27" s="366" t="s">
        <v>83</v>
      </c>
      <c r="E27" s="366"/>
      <c r="F27" s="223"/>
      <c r="G27" s="218">
        <v>38.9</v>
      </c>
      <c r="H27" s="219">
        <v>3.84</v>
      </c>
      <c r="I27" s="367"/>
      <c r="J27" s="391"/>
      <c r="K27" s="249"/>
      <c r="L27" s="222"/>
      <c r="M27" s="220"/>
    </row>
    <row r="28" spans="1:13" ht="15">
      <c r="A28" s="215">
        <v>6</v>
      </c>
      <c r="B28" s="366" t="s">
        <v>380</v>
      </c>
      <c r="C28" s="366"/>
      <c r="D28" s="366" t="s">
        <v>83</v>
      </c>
      <c r="E28" s="366"/>
      <c r="F28" s="223"/>
      <c r="G28" s="218">
        <v>43.7</v>
      </c>
      <c r="H28" s="219">
        <v>4.34</v>
      </c>
      <c r="I28" s="367"/>
      <c r="J28" s="391"/>
      <c r="K28" s="249"/>
      <c r="L28" s="222"/>
      <c r="M28" s="220"/>
    </row>
    <row r="29" spans="1:13" ht="15">
      <c r="A29" s="215">
        <v>7</v>
      </c>
      <c r="B29" s="366" t="s">
        <v>380</v>
      </c>
      <c r="C29" s="366"/>
      <c r="D29" s="366" t="s">
        <v>83</v>
      </c>
      <c r="E29" s="366"/>
      <c r="F29" s="223"/>
      <c r="G29" s="218">
        <v>38</v>
      </c>
      <c r="H29" s="219">
        <v>3.77</v>
      </c>
      <c r="I29" s="367"/>
      <c r="J29" s="391"/>
      <c r="K29" s="249"/>
      <c r="L29" s="222"/>
      <c r="M29" s="220"/>
    </row>
    <row r="30" spans="1:13" ht="15">
      <c r="A30" s="215">
        <v>8</v>
      </c>
      <c r="B30" s="366" t="s">
        <v>380</v>
      </c>
      <c r="C30" s="366"/>
      <c r="D30" s="366" t="s">
        <v>83</v>
      </c>
      <c r="E30" s="366"/>
      <c r="F30" s="223"/>
      <c r="G30" s="218">
        <v>38.299999999999997</v>
      </c>
      <c r="H30" s="219">
        <v>3.75</v>
      </c>
      <c r="I30" s="367"/>
      <c r="J30" s="391"/>
      <c r="K30" s="249"/>
      <c r="L30" s="222"/>
      <c r="M30" s="220"/>
    </row>
    <row r="31" spans="1:13" ht="15.75" thickBot="1">
      <c r="A31" s="253">
        <v>9</v>
      </c>
      <c r="B31" s="393" t="s">
        <v>381</v>
      </c>
      <c r="C31" s="393"/>
      <c r="D31" s="393" t="s">
        <v>83</v>
      </c>
      <c r="E31" s="393"/>
      <c r="F31" s="254"/>
      <c r="G31" s="255">
        <v>33.700000000000003</v>
      </c>
      <c r="H31" s="256">
        <v>3.29</v>
      </c>
      <c r="I31" s="368"/>
      <c r="J31" s="392"/>
      <c r="K31" s="249"/>
      <c r="L31" s="222"/>
      <c r="M31" s="220"/>
    </row>
    <row r="32" spans="1:13" ht="15">
      <c r="A32" s="257">
        <v>10</v>
      </c>
      <c r="B32" s="377" t="s">
        <v>386</v>
      </c>
      <c r="C32" s="377"/>
      <c r="D32" s="371" t="s">
        <v>83</v>
      </c>
      <c r="E32" s="371"/>
      <c r="F32" s="251"/>
      <c r="G32" s="252">
        <v>35.9</v>
      </c>
      <c r="H32" s="244">
        <v>3.63</v>
      </c>
      <c r="I32" s="374">
        <v>2</v>
      </c>
      <c r="J32" s="408">
        <v>39.1</v>
      </c>
      <c r="K32" s="249"/>
      <c r="L32" s="222"/>
      <c r="M32" s="220"/>
    </row>
    <row r="33" spans="1:13" ht="15">
      <c r="A33" s="215">
        <v>11</v>
      </c>
      <c r="B33" s="401" t="s">
        <v>386</v>
      </c>
      <c r="C33" s="402"/>
      <c r="D33" s="366" t="s">
        <v>83</v>
      </c>
      <c r="E33" s="366"/>
      <c r="F33" s="223"/>
      <c r="G33" s="218">
        <v>40.200000000000003</v>
      </c>
      <c r="H33" s="241">
        <v>4.07</v>
      </c>
      <c r="I33" s="375"/>
      <c r="J33" s="409"/>
      <c r="K33" s="249"/>
      <c r="L33" s="222"/>
      <c r="M33" s="220"/>
    </row>
    <row r="34" spans="1:13" ht="15">
      <c r="A34" s="215">
        <v>12</v>
      </c>
      <c r="B34" s="401" t="s">
        <v>386</v>
      </c>
      <c r="C34" s="402"/>
      <c r="D34" s="366" t="s">
        <v>83</v>
      </c>
      <c r="E34" s="366"/>
      <c r="F34" s="223"/>
      <c r="G34" s="218">
        <v>35</v>
      </c>
      <c r="H34" s="219">
        <v>3.52</v>
      </c>
      <c r="I34" s="375"/>
      <c r="J34" s="409"/>
      <c r="K34" s="249"/>
      <c r="L34" s="222"/>
      <c r="M34" s="220"/>
    </row>
    <row r="35" spans="1:13" ht="15">
      <c r="A35" s="215">
        <v>13</v>
      </c>
      <c r="B35" s="401" t="s">
        <v>384</v>
      </c>
      <c r="C35" s="402"/>
      <c r="D35" s="366" t="s">
        <v>83</v>
      </c>
      <c r="E35" s="366"/>
      <c r="F35" s="223"/>
      <c r="G35" s="218">
        <v>38.200000000000003</v>
      </c>
      <c r="H35" s="219">
        <v>3.72</v>
      </c>
      <c r="I35" s="375"/>
      <c r="J35" s="409"/>
      <c r="K35" s="249"/>
      <c r="L35" s="222"/>
      <c r="M35" s="220"/>
    </row>
    <row r="36" spans="1:13" ht="15">
      <c r="A36" s="215">
        <v>14</v>
      </c>
      <c r="B36" s="369" t="s">
        <v>382</v>
      </c>
      <c r="C36" s="370"/>
      <c r="D36" s="366" t="s">
        <v>83</v>
      </c>
      <c r="E36" s="366"/>
      <c r="F36" s="223"/>
      <c r="G36" s="218">
        <v>53.6</v>
      </c>
      <c r="H36" s="219">
        <v>5.14</v>
      </c>
      <c r="I36" s="375"/>
      <c r="J36" s="409"/>
      <c r="K36" s="249"/>
      <c r="L36" s="222"/>
      <c r="M36" s="220"/>
    </row>
    <row r="37" spans="1:13" ht="15">
      <c r="A37" s="215">
        <v>15</v>
      </c>
      <c r="B37" s="369" t="s">
        <v>382</v>
      </c>
      <c r="C37" s="370"/>
      <c r="D37" s="366" t="s">
        <v>83</v>
      </c>
      <c r="E37" s="366"/>
      <c r="F37" s="223"/>
      <c r="G37" s="218">
        <v>43.7</v>
      </c>
      <c r="H37" s="242">
        <v>4.2300000000000004</v>
      </c>
      <c r="I37" s="375"/>
      <c r="J37" s="409"/>
      <c r="K37" s="249"/>
      <c r="L37" s="222"/>
      <c r="M37" s="220"/>
    </row>
    <row r="38" spans="1:13" ht="15">
      <c r="A38" s="215">
        <v>16</v>
      </c>
      <c r="B38" s="369" t="s">
        <v>383</v>
      </c>
      <c r="C38" s="370"/>
      <c r="D38" s="366" t="s">
        <v>83</v>
      </c>
      <c r="E38" s="366"/>
      <c r="F38" s="223"/>
      <c r="G38" s="218">
        <v>45.6</v>
      </c>
      <c r="H38" s="242">
        <v>4.3099999999999996</v>
      </c>
      <c r="I38" s="375"/>
      <c r="J38" s="409"/>
      <c r="K38" s="249"/>
      <c r="L38" s="222"/>
      <c r="M38" s="220"/>
    </row>
    <row r="39" spans="1:13" ht="15">
      <c r="A39" s="215">
        <v>17</v>
      </c>
      <c r="B39" s="369" t="s">
        <v>383</v>
      </c>
      <c r="C39" s="370"/>
      <c r="D39" s="366" t="s">
        <v>83</v>
      </c>
      <c r="E39" s="366"/>
      <c r="F39" s="223"/>
      <c r="G39" s="218">
        <v>46.6</v>
      </c>
      <c r="H39" s="219">
        <v>4.42</v>
      </c>
      <c r="I39" s="375"/>
      <c r="J39" s="409"/>
      <c r="K39" s="249"/>
      <c r="L39" s="222"/>
      <c r="M39" s="220"/>
    </row>
    <row r="40" spans="1:13" ht="15.75" thickBot="1">
      <c r="A40" s="253">
        <v>18</v>
      </c>
      <c r="B40" s="372" t="s">
        <v>383</v>
      </c>
      <c r="C40" s="373"/>
      <c r="D40" s="393" t="s">
        <v>83</v>
      </c>
      <c r="E40" s="393"/>
      <c r="F40" s="254"/>
      <c r="G40" s="255">
        <v>29.9</v>
      </c>
      <c r="H40" s="256">
        <v>2.92</v>
      </c>
      <c r="I40" s="376"/>
      <c r="J40" s="410"/>
      <c r="K40" s="249"/>
      <c r="L40" s="222"/>
      <c r="M40" s="220"/>
    </row>
    <row r="41" spans="1:13" ht="15">
      <c r="A41" s="257">
        <v>19</v>
      </c>
      <c r="B41" s="369" t="s">
        <v>371</v>
      </c>
      <c r="C41" s="370"/>
      <c r="D41" s="371" t="s">
        <v>83</v>
      </c>
      <c r="E41" s="371"/>
      <c r="F41" s="251"/>
      <c r="G41" s="243">
        <v>34.299999999999997</v>
      </c>
      <c r="H41" s="244">
        <v>3.4</v>
      </c>
      <c r="I41" s="374">
        <v>3</v>
      </c>
      <c r="J41" s="408">
        <v>37.1</v>
      </c>
      <c r="K41" s="249"/>
      <c r="L41" s="222"/>
      <c r="M41" s="220"/>
    </row>
    <row r="42" spans="1:13" ht="15">
      <c r="A42" s="215">
        <v>20</v>
      </c>
      <c r="B42" s="369" t="s">
        <v>371</v>
      </c>
      <c r="C42" s="370"/>
      <c r="D42" s="366" t="s">
        <v>83</v>
      </c>
      <c r="E42" s="366"/>
      <c r="F42" s="223"/>
      <c r="G42" s="245">
        <v>45.1</v>
      </c>
      <c r="H42" s="241">
        <v>4.37</v>
      </c>
      <c r="I42" s="375"/>
      <c r="J42" s="409"/>
      <c r="K42" s="249"/>
      <c r="L42" s="222"/>
      <c r="M42" s="220"/>
    </row>
    <row r="43" spans="1:13" ht="15">
      <c r="A43" s="215">
        <v>21</v>
      </c>
      <c r="B43" s="369" t="s">
        <v>371</v>
      </c>
      <c r="C43" s="370"/>
      <c r="D43" s="366" t="s">
        <v>83</v>
      </c>
      <c r="E43" s="366"/>
      <c r="F43" s="223"/>
      <c r="G43" s="246">
        <v>35.5</v>
      </c>
      <c r="H43" s="242">
        <v>3.49</v>
      </c>
      <c r="I43" s="375"/>
      <c r="J43" s="409"/>
      <c r="K43" s="249"/>
      <c r="L43" s="222"/>
      <c r="M43" s="220"/>
    </row>
    <row r="44" spans="1:13" ht="15">
      <c r="A44" s="215">
        <v>22</v>
      </c>
      <c r="B44" s="369" t="s">
        <v>372</v>
      </c>
      <c r="C44" s="370"/>
      <c r="D44" s="366" t="s">
        <v>83</v>
      </c>
      <c r="E44" s="366"/>
      <c r="F44" s="223"/>
      <c r="G44" s="246">
        <v>33.799999999999997</v>
      </c>
      <c r="H44" s="242">
        <v>3.16</v>
      </c>
      <c r="I44" s="375"/>
      <c r="J44" s="409"/>
      <c r="K44" s="249"/>
      <c r="L44" s="222"/>
      <c r="M44" s="220"/>
    </row>
    <row r="45" spans="1:13" ht="15">
      <c r="A45" s="215">
        <v>23</v>
      </c>
      <c r="B45" s="369" t="s">
        <v>372</v>
      </c>
      <c r="C45" s="370"/>
      <c r="D45" s="366" t="s">
        <v>83</v>
      </c>
      <c r="E45" s="366"/>
      <c r="F45" s="223"/>
      <c r="G45" s="246">
        <v>31.6</v>
      </c>
      <c r="H45" s="242">
        <v>3.2</v>
      </c>
      <c r="I45" s="375"/>
      <c r="J45" s="409"/>
      <c r="K45" s="249"/>
      <c r="L45" s="222"/>
      <c r="M45" s="220"/>
    </row>
    <row r="46" spans="1:13" ht="15">
      <c r="A46" s="215">
        <v>24</v>
      </c>
      <c r="B46" s="369" t="s">
        <v>372</v>
      </c>
      <c r="C46" s="370"/>
      <c r="D46" s="366" t="s">
        <v>83</v>
      </c>
      <c r="E46" s="366"/>
      <c r="F46" s="223"/>
      <c r="G46" s="246">
        <v>44.1</v>
      </c>
      <c r="H46" s="242">
        <v>4.4400000000000004</v>
      </c>
      <c r="I46" s="375"/>
      <c r="J46" s="409"/>
      <c r="K46" s="249"/>
      <c r="L46" s="222"/>
      <c r="M46" s="220"/>
    </row>
    <row r="47" spans="1:13" ht="15">
      <c r="A47" s="215">
        <v>25</v>
      </c>
      <c r="B47" s="369" t="s">
        <v>373</v>
      </c>
      <c r="C47" s="370"/>
      <c r="D47" s="366" t="s">
        <v>83</v>
      </c>
      <c r="E47" s="366"/>
      <c r="F47" s="223"/>
      <c r="G47" s="246">
        <v>34.1</v>
      </c>
      <c r="H47" s="242">
        <v>3.51</v>
      </c>
      <c r="I47" s="375"/>
      <c r="J47" s="409"/>
      <c r="K47" s="249"/>
      <c r="L47" s="222"/>
      <c r="M47" s="220"/>
    </row>
    <row r="48" spans="1:13" ht="15">
      <c r="A48" s="215">
        <v>26</v>
      </c>
      <c r="B48" s="369" t="s">
        <v>373</v>
      </c>
      <c r="C48" s="370"/>
      <c r="D48" s="366" t="s">
        <v>83</v>
      </c>
      <c r="E48" s="366"/>
      <c r="F48" s="223"/>
      <c r="G48" s="246">
        <v>36</v>
      </c>
      <c r="H48" s="242">
        <v>3.71</v>
      </c>
      <c r="I48" s="375"/>
      <c r="J48" s="409"/>
      <c r="K48" s="249"/>
      <c r="L48" s="222"/>
      <c r="M48" s="220"/>
    </row>
    <row r="49" spans="1:13" ht="15.75" thickBot="1">
      <c r="A49" s="253">
        <v>27</v>
      </c>
      <c r="B49" s="405" t="s">
        <v>373</v>
      </c>
      <c r="C49" s="405"/>
      <c r="D49" s="393" t="s">
        <v>83</v>
      </c>
      <c r="E49" s="393"/>
      <c r="F49" s="254"/>
      <c r="G49" s="247">
        <v>41.6</v>
      </c>
      <c r="H49" s="248">
        <v>4.2699999999999996</v>
      </c>
      <c r="I49" s="376"/>
      <c r="J49" s="410"/>
      <c r="K49" s="249"/>
      <c r="L49" s="222"/>
      <c r="M49" s="220"/>
    </row>
    <row r="50" spans="1:13" ht="15">
      <c r="A50" s="257">
        <v>28</v>
      </c>
      <c r="B50" s="406" t="s">
        <v>375</v>
      </c>
      <c r="C50" s="407"/>
      <c r="D50" s="371" t="s">
        <v>83</v>
      </c>
      <c r="E50" s="371"/>
      <c r="F50" s="251"/>
      <c r="G50" s="252">
        <v>35.4</v>
      </c>
      <c r="H50" s="244">
        <v>3.33</v>
      </c>
      <c r="I50" s="374">
        <v>4</v>
      </c>
      <c r="J50" s="408">
        <v>30.2</v>
      </c>
      <c r="K50" s="221"/>
      <c r="L50" s="222"/>
      <c r="M50" s="220"/>
    </row>
    <row r="51" spans="1:13" ht="15">
      <c r="A51" s="215">
        <v>29</v>
      </c>
      <c r="B51" s="369" t="s">
        <v>385</v>
      </c>
      <c r="C51" s="370"/>
      <c r="D51" s="366" t="s">
        <v>83</v>
      </c>
      <c r="E51" s="366"/>
      <c r="F51" s="223"/>
      <c r="G51" s="218">
        <v>33.200000000000003</v>
      </c>
      <c r="H51" s="219">
        <v>3.3</v>
      </c>
      <c r="I51" s="375"/>
      <c r="J51" s="409"/>
      <c r="K51" s="221"/>
      <c r="L51" s="222"/>
      <c r="M51" s="220"/>
    </row>
    <row r="52" spans="1:13" ht="15">
      <c r="A52" s="215">
        <v>30</v>
      </c>
      <c r="B52" s="369" t="s">
        <v>376</v>
      </c>
      <c r="C52" s="370"/>
      <c r="D52" s="366" t="s">
        <v>83</v>
      </c>
      <c r="E52" s="366"/>
      <c r="F52" s="223"/>
      <c r="G52" s="218">
        <v>59</v>
      </c>
      <c r="H52" s="219">
        <v>6.16</v>
      </c>
      <c r="I52" s="375"/>
      <c r="J52" s="409"/>
      <c r="K52" s="221"/>
      <c r="L52" s="222"/>
      <c r="M52" s="220"/>
    </row>
    <row r="53" spans="1:13" ht="15">
      <c r="A53" s="215">
        <v>31</v>
      </c>
      <c r="B53" s="369" t="s">
        <v>374</v>
      </c>
      <c r="C53" s="370"/>
      <c r="D53" s="366" t="s">
        <v>83</v>
      </c>
      <c r="E53" s="366"/>
      <c r="F53" s="223"/>
      <c r="G53" s="218">
        <v>56.9</v>
      </c>
      <c r="H53" s="219">
        <v>5.45</v>
      </c>
      <c r="I53" s="375"/>
      <c r="J53" s="409"/>
      <c r="K53" s="221"/>
      <c r="L53" s="222"/>
      <c r="M53" s="220"/>
    </row>
    <row r="54" spans="1:13" ht="15">
      <c r="A54" s="215">
        <v>32</v>
      </c>
      <c r="B54" s="401" t="s">
        <v>366</v>
      </c>
      <c r="C54" s="402"/>
      <c r="D54" s="366" t="s">
        <v>83</v>
      </c>
      <c r="E54" s="366"/>
      <c r="F54" s="223"/>
      <c r="G54" s="218">
        <v>17.899999999999999</v>
      </c>
      <c r="H54" s="219">
        <v>3.72</v>
      </c>
      <c r="I54" s="375"/>
      <c r="J54" s="409"/>
      <c r="K54" s="221"/>
      <c r="L54" s="222"/>
      <c r="M54" s="220"/>
    </row>
    <row r="55" spans="1:13" ht="15.75" thickBot="1">
      <c r="A55" s="253">
        <v>33</v>
      </c>
      <c r="B55" s="403" t="s">
        <v>366</v>
      </c>
      <c r="C55" s="404"/>
      <c r="D55" s="393" t="s">
        <v>83</v>
      </c>
      <c r="E55" s="393"/>
      <c r="F55" s="254"/>
      <c r="G55" s="255">
        <v>30.1</v>
      </c>
      <c r="H55" s="256">
        <v>6.2</v>
      </c>
      <c r="I55" s="376"/>
      <c r="J55" s="410"/>
      <c r="K55" s="221"/>
      <c r="L55" s="222"/>
      <c r="M55" s="220"/>
    </row>
    <row r="56" spans="1:13" ht="15">
      <c r="A56" s="257"/>
      <c r="B56" s="399"/>
      <c r="C56" s="400"/>
      <c r="D56" s="377"/>
      <c r="E56" s="377"/>
      <c r="F56" s="223"/>
      <c r="G56" s="250"/>
      <c r="H56" s="240"/>
      <c r="I56" s="238"/>
      <c r="J56" s="239"/>
      <c r="K56" s="221"/>
      <c r="L56" s="222"/>
      <c r="M56" s="220"/>
    </row>
    <row r="57" spans="1:13" ht="15.75" thickBot="1">
      <c r="A57" s="216"/>
      <c r="B57" s="396"/>
      <c r="C57" s="396"/>
      <c r="D57" s="396"/>
      <c r="E57" s="396"/>
      <c r="F57" s="217"/>
      <c r="G57" s="225">
        <f>SUM(G25:G56)</f>
        <v>1199.2</v>
      </c>
      <c r="H57" s="224">
        <f>SUM(H25:H56)</f>
        <v>123.65</v>
      </c>
      <c r="I57" s="265"/>
      <c r="J57" s="224">
        <f>SUM(J23:J56)</f>
        <v>142.19999999999999</v>
      </c>
      <c r="K57" s="397"/>
      <c r="L57" s="398"/>
      <c r="M57" s="220"/>
    </row>
    <row r="58" spans="1:13" ht="15">
      <c r="A58" s="28"/>
      <c r="B58" s="27"/>
      <c r="C58" s="27"/>
      <c r="D58" s="27"/>
      <c r="E58" s="1"/>
      <c r="F58" s="1"/>
      <c r="G58" s="1"/>
      <c r="H58" s="1"/>
      <c r="I58" s="75"/>
      <c r="J58" s="75"/>
      <c r="K58" s="75"/>
      <c r="L58" s="76"/>
    </row>
    <row r="59" spans="1:13" ht="15">
      <c r="A59" s="11"/>
      <c r="B59" s="27" t="s">
        <v>15</v>
      </c>
      <c r="C59" s="27" t="s">
        <v>16</v>
      </c>
      <c r="D59" s="27" t="s">
        <v>17</v>
      </c>
      <c r="E59" s="27" t="s">
        <v>16</v>
      </c>
      <c r="F59" s="27"/>
      <c r="G59" s="27" t="s">
        <v>18</v>
      </c>
      <c r="H59" s="27" t="s">
        <v>39</v>
      </c>
      <c r="I59" s="75"/>
      <c r="J59" s="75"/>
      <c r="K59" s="75"/>
      <c r="L59" s="76"/>
    </row>
    <row r="60" spans="1:13" ht="15">
      <c r="A60" s="11" t="s">
        <v>19</v>
      </c>
      <c r="B60" s="1">
        <v>153</v>
      </c>
      <c r="C60" s="1"/>
      <c r="D60" s="1">
        <v>27</v>
      </c>
      <c r="E60" s="1"/>
      <c r="F60" s="1"/>
      <c r="G60" s="1">
        <v>27</v>
      </c>
      <c r="H60" s="103">
        <f>(B60*D60*G60)/5000</f>
        <v>22.307400000000001</v>
      </c>
      <c r="I60" s="75"/>
      <c r="J60" s="75"/>
      <c r="K60" s="75"/>
      <c r="L60" s="76"/>
    </row>
    <row r="61" spans="1:13" ht="15">
      <c r="A61" s="11" t="s">
        <v>377</v>
      </c>
      <c r="B61" s="1">
        <v>153</v>
      </c>
      <c r="C61" s="1"/>
      <c r="D61" s="1">
        <v>27</v>
      </c>
      <c r="E61" s="1"/>
      <c r="F61" s="1"/>
      <c r="G61" s="1">
        <v>27</v>
      </c>
      <c r="H61" s="103">
        <f>(B61*D61*G61)/5000</f>
        <v>22.307400000000001</v>
      </c>
      <c r="I61" s="75" t="s">
        <v>20</v>
      </c>
      <c r="J61" s="75"/>
      <c r="K61" s="95">
        <v>79.16</v>
      </c>
      <c r="L61" s="76" t="s">
        <v>21</v>
      </c>
    </row>
    <row r="62" spans="1:13" ht="15">
      <c r="A62" s="11" t="s">
        <v>378</v>
      </c>
      <c r="B62" s="1">
        <v>153</v>
      </c>
      <c r="C62" s="1"/>
      <c r="D62" s="1">
        <v>27</v>
      </c>
      <c r="E62" s="1"/>
      <c r="F62" s="1"/>
      <c r="G62" s="1">
        <v>27</v>
      </c>
      <c r="H62" s="103">
        <f>(B62*D62*G62)/5000</f>
        <v>22.307400000000001</v>
      </c>
      <c r="I62" s="75"/>
      <c r="J62" s="75"/>
      <c r="K62" s="77"/>
      <c r="L62" s="76"/>
    </row>
    <row r="63" spans="1:13" ht="15">
      <c r="A63" s="11" t="s">
        <v>379</v>
      </c>
      <c r="B63" s="1">
        <v>153</v>
      </c>
      <c r="C63" s="1"/>
      <c r="D63" s="1">
        <v>20</v>
      </c>
      <c r="E63" s="1"/>
      <c r="F63" s="1"/>
      <c r="G63" s="1">
        <v>20</v>
      </c>
      <c r="H63" s="18">
        <f>(B63*D63*G63)/5000</f>
        <v>12.24</v>
      </c>
      <c r="I63" s="75"/>
      <c r="J63" s="75"/>
      <c r="K63" s="77"/>
      <c r="L63" s="76"/>
    </row>
    <row r="64" spans="1:13" ht="15">
      <c r="A64" s="11"/>
      <c r="B64" s="1"/>
      <c r="C64" s="1"/>
      <c r="D64" s="1"/>
      <c r="E64" s="1"/>
      <c r="F64" s="1"/>
      <c r="G64" s="1"/>
      <c r="H64" s="18">
        <f>(B64*D64*G64)/5000</f>
        <v>0</v>
      </c>
      <c r="I64" s="75" t="s">
        <v>22</v>
      </c>
      <c r="J64" s="75"/>
      <c r="K64" s="95">
        <v>144.88</v>
      </c>
      <c r="L64" s="76" t="s">
        <v>21</v>
      </c>
    </row>
    <row r="65" spans="1:12" ht="15">
      <c r="A65" s="11"/>
      <c r="B65" s="1"/>
      <c r="C65" s="1"/>
      <c r="D65" s="1"/>
      <c r="E65" s="1"/>
      <c r="F65" s="1"/>
      <c r="G65" s="1"/>
      <c r="H65" s="18"/>
      <c r="I65" s="75"/>
      <c r="J65" s="75"/>
      <c r="K65" s="77"/>
      <c r="L65" s="76"/>
    </row>
    <row r="66" spans="1:12" ht="15">
      <c r="A66" s="11"/>
      <c r="B66" s="1"/>
      <c r="C66" s="1"/>
      <c r="D66" s="1"/>
      <c r="E66" s="1"/>
      <c r="F66" s="1"/>
      <c r="G66" s="1"/>
      <c r="H66" s="18"/>
      <c r="I66" s="75" t="s">
        <v>23</v>
      </c>
      <c r="J66" s="75"/>
      <c r="K66" s="95">
        <v>135.54</v>
      </c>
      <c r="L66" s="76" t="s">
        <v>21</v>
      </c>
    </row>
    <row r="67" spans="1:12" ht="15">
      <c r="A67" s="11"/>
      <c r="B67" s="1"/>
      <c r="C67" s="1"/>
      <c r="D67" s="1"/>
      <c r="E67" s="1"/>
      <c r="F67" s="1"/>
      <c r="G67" s="1"/>
      <c r="H67" s="18"/>
      <c r="I67" s="75"/>
      <c r="J67" s="75"/>
      <c r="K67" s="77"/>
      <c r="L67" s="76"/>
    </row>
    <row r="68" spans="1:12" ht="15">
      <c r="A68" s="11"/>
      <c r="B68" s="1"/>
      <c r="C68" s="1"/>
      <c r="D68" s="1"/>
      <c r="E68" s="1"/>
      <c r="F68" s="1"/>
      <c r="G68" s="1"/>
      <c r="H68" s="18"/>
      <c r="I68" s="75" t="s">
        <v>24</v>
      </c>
      <c r="J68" s="75"/>
      <c r="K68" s="95">
        <v>145</v>
      </c>
      <c r="L68" s="76" t="s">
        <v>21</v>
      </c>
    </row>
    <row r="69" spans="1:12" ht="15">
      <c r="A69" s="11"/>
      <c r="B69" s="1"/>
      <c r="C69" s="1"/>
      <c r="D69" s="1"/>
      <c r="E69" s="1"/>
      <c r="F69" s="1"/>
      <c r="G69" s="1"/>
      <c r="H69" s="1"/>
      <c r="I69" s="75"/>
      <c r="J69" s="75"/>
      <c r="K69" s="75"/>
      <c r="L69" s="76"/>
    </row>
    <row r="70" spans="1:12" ht="15">
      <c r="A70" s="11"/>
      <c r="B70" s="1"/>
      <c r="C70" s="1"/>
      <c r="D70" s="1"/>
      <c r="E70" s="1"/>
      <c r="F70" s="1"/>
      <c r="G70" s="1"/>
      <c r="H70" s="1"/>
      <c r="I70" s="78"/>
      <c r="J70" s="394" t="str">
        <f>'[1]EXPORT INVOICE'!L50</f>
        <v>For Shree Hanuman Traders</v>
      </c>
      <c r="K70" s="394"/>
      <c r="L70" s="395"/>
    </row>
    <row r="71" spans="1:12" ht="15">
      <c r="A71" s="11"/>
      <c r="B71" s="1"/>
      <c r="C71" s="1"/>
      <c r="D71" s="1"/>
      <c r="E71" s="1"/>
      <c r="F71" s="1"/>
      <c r="G71" s="1"/>
      <c r="H71" s="1"/>
      <c r="I71" s="79"/>
      <c r="J71" s="75"/>
      <c r="K71" s="75"/>
      <c r="L71" s="76"/>
    </row>
    <row r="72" spans="1:12" ht="15.75" thickBot="1">
      <c r="A72" s="12"/>
      <c r="B72" s="13"/>
      <c r="C72" s="13"/>
      <c r="D72" s="13"/>
      <c r="E72" s="13"/>
      <c r="F72" s="13"/>
      <c r="G72" s="13"/>
      <c r="H72" s="13"/>
      <c r="I72" s="80"/>
      <c r="J72" s="81"/>
      <c r="K72" s="81"/>
      <c r="L72" s="82" t="s">
        <v>69</v>
      </c>
    </row>
  </sheetData>
  <mergeCells count="93">
    <mergeCell ref="J50:J55"/>
    <mergeCell ref="D48:E48"/>
    <mergeCell ref="D49:E49"/>
    <mergeCell ref="D50:E50"/>
    <mergeCell ref="D51:E51"/>
    <mergeCell ref="D52:E52"/>
    <mergeCell ref="D53:E53"/>
    <mergeCell ref="D54:E54"/>
    <mergeCell ref="D55:E55"/>
    <mergeCell ref="J41:J49"/>
    <mergeCell ref="D45:E45"/>
    <mergeCell ref="D46:E46"/>
    <mergeCell ref="D47:E47"/>
    <mergeCell ref="I41:I49"/>
    <mergeCell ref="D43:E43"/>
    <mergeCell ref="D29:E29"/>
    <mergeCell ref="D30:E30"/>
    <mergeCell ref="D31:E31"/>
    <mergeCell ref="D27:E27"/>
    <mergeCell ref="I50:I55"/>
    <mergeCell ref="B43:C43"/>
    <mergeCell ref="J32:J40"/>
    <mergeCell ref="D40:E40"/>
    <mergeCell ref="D32:E32"/>
    <mergeCell ref="D35:E35"/>
    <mergeCell ref="D36:E36"/>
    <mergeCell ref="D38:E38"/>
    <mergeCell ref="D33:E33"/>
    <mergeCell ref="D34:E34"/>
    <mergeCell ref="B33:C33"/>
    <mergeCell ref="B34:C34"/>
    <mergeCell ref="B37:C37"/>
    <mergeCell ref="B39:C39"/>
    <mergeCell ref="B35:C35"/>
    <mergeCell ref="B36:C36"/>
    <mergeCell ref="B38:C38"/>
    <mergeCell ref="J70:L70"/>
    <mergeCell ref="B57:C57"/>
    <mergeCell ref="D57:E57"/>
    <mergeCell ref="K57:L57"/>
    <mergeCell ref="B56:C56"/>
    <mergeCell ref="D56:E56"/>
    <mergeCell ref="B54:C54"/>
    <mergeCell ref="B55:C55"/>
    <mergeCell ref="B47:C47"/>
    <mergeCell ref="B48:C48"/>
    <mergeCell ref="B49:C49"/>
    <mergeCell ref="B50:C50"/>
    <mergeCell ref="B51:C51"/>
    <mergeCell ref="B41:C41"/>
    <mergeCell ref="B42:C42"/>
    <mergeCell ref="K22:L22"/>
    <mergeCell ref="B22:C22"/>
    <mergeCell ref="D22:E22"/>
    <mergeCell ref="B25:C25"/>
    <mergeCell ref="B26:C26"/>
    <mergeCell ref="B23:C23"/>
    <mergeCell ref="D23:E23"/>
    <mergeCell ref="B24:C24"/>
    <mergeCell ref="D24:E24"/>
    <mergeCell ref="J23:J31"/>
    <mergeCell ref="B30:C30"/>
    <mergeCell ref="B31:C31"/>
    <mergeCell ref="B27:C27"/>
    <mergeCell ref="B28:C28"/>
    <mergeCell ref="B29:C29"/>
    <mergeCell ref="D25:E25"/>
    <mergeCell ref="A1:L1"/>
    <mergeCell ref="K2:L2"/>
    <mergeCell ref="K3:L3"/>
    <mergeCell ref="G18:L18"/>
    <mergeCell ref="G19:L21"/>
    <mergeCell ref="F15:H15"/>
    <mergeCell ref="C21:E21"/>
    <mergeCell ref="A21:B21"/>
    <mergeCell ref="A15:E15"/>
    <mergeCell ref="F14:J14"/>
    <mergeCell ref="D26:E26"/>
    <mergeCell ref="I25:I31"/>
    <mergeCell ref="D28:E28"/>
    <mergeCell ref="B52:C52"/>
    <mergeCell ref="B53:C53"/>
    <mergeCell ref="B44:C44"/>
    <mergeCell ref="B45:C45"/>
    <mergeCell ref="B46:C46"/>
    <mergeCell ref="D41:E41"/>
    <mergeCell ref="D42:E42"/>
    <mergeCell ref="B40:C40"/>
    <mergeCell ref="D37:E37"/>
    <mergeCell ref="D39:E39"/>
    <mergeCell ref="D44:E44"/>
    <mergeCell ref="I32:I40"/>
    <mergeCell ref="B32:C32"/>
  </mergeCells>
  <phoneticPr fontId="0" type="noConversion"/>
  <printOptions horizontalCentered="1" verticalCentered="1"/>
  <pageMargins left="0.39370078740157483" right="0.39370078740157483" top="0.39370078740157483" bottom="0.39370078740157483" header="0.39370078740157483" footer="0.39370078740157483"/>
  <pageSetup paperSize="9" scale="72" orientation="portrait" horizontalDpi="4294967293" vertic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3"/>
  <sheetViews>
    <sheetView topLeftCell="A22" workbookViewId="0">
      <selection activeCell="B40" sqref="B40"/>
    </sheetView>
  </sheetViews>
  <sheetFormatPr defaultRowHeight="12.75"/>
  <cols>
    <col min="2" max="2" width="10.5703125" bestFit="1" customWidth="1"/>
    <col min="11" max="11" width="27.140625" bestFit="1" customWidth="1"/>
  </cols>
  <sheetData>
    <row r="1" spans="1:11" ht="15.75">
      <c r="A1" s="413" t="s">
        <v>95</v>
      </c>
      <c r="B1" s="414"/>
      <c r="C1" s="414"/>
      <c r="D1" s="414"/>
      <c r="E1" s="414"/>
      <c r="F1" s="414"/>
      <c r="G1" s="414"/>
      <c r="H1" s="414"/>
      <c r="I1" s="414"/>
      <c r="J1" s="414"/>
      <c r="K1" s="415"/>
    </row>
    <row r="2" spans="1:11" ht="15.75">
      <c r="A2" s="411" t="s">
        <v>96</v>
      </c>
      <c r="B2" s="412"/>
      <c r="C2" s="412"/>
      <c r="D2" s="412"/>
      <c r="E2" s="412"/>
      <c r="F2" s="412"/>
      <c r="G2" s="412"/>
      <c r="H2" s="412"/>
      <c r="I2" s="412"/>
      <c r="J2" s="412"/>
      <c r="K2" s="416"/>
    </row>
    <row r="3" spans="1:11" ht="15.75">
      <c r="A3" s="411" t="s">
        <v>97</v>
      </c>
      <c r="B3" s="412"/>
      <c r="C3" s="412"/>
      <c r="D3" s="412"/>
      <c r="E3" s="412"/>
      <c r="F3" s="412"/>
      <c r="G3" s="412"/>
      <c r="H3" s="412"/>
      <c r="I3" s="412"/>
      <c r="J3" s="412"/>
      <c r="K3" s="416"/>
    </row>
    <row r="4" spans="1:11" ht="15.75">
      <c r="A4" s="411" t="s">
        <v>98</v>
      </c>
      <c r="B4" s="412"/>
      <c r="C4" s="412"/>
      <c r="D4" s="412"/>
      <c r="E4" s="412"/>
      <c r="F4" s="412"/>
      <c r="G4" s="412"/>
      <c r="H4" s="412"/>
      <c r="I4" s="412"/>
      <c r="J4" s="412"/>
      <c r="K4" s="416"/>
    </row>
    <row r="5" spans="1:11" ht="15.75">
      <c r="A5" s="104"/>
      <c r="B5" s="105"/>
      <c r="C5" s="105"/>
      <c r="D5" s="105"/>
      <c r="E5" s="105"/>
      <c r="F5" s="105"/>
      <c r="G5" s="105"/>
      <c r="H5" s="105"/>
      <c r="I5" s="105"/>
      <c r="J5" s="105"/>
      <c r="K5" s="106"/>
    </row>
    <row r="6" spans="1:11" ht="15.75">
      <c r="A6" s="104"/>
      <c r="B6" s="105" t="s">
        <v>99</v>
      </c>
      <c r="C6" s="105"/>
      <c r="D6" s="105"/>
      <c r="E6" s="105"/>
      <c r="F6" s="105"/>
      <c r="G6" s="105" t="s">
        <v>388</v>
      </c>
      <c r="H6" s="105"/>
      <c r="I6" s="105"/>
      <c r="J6" s="105"/>
      <c r="K6" s="106"/>
    </row>
    <row r="7" spans="1:11" ht="15.75">
      <c r="A7" s="104"/>
      <c r="B7" s="105" t="s">
        <v>100</v>
      </c>
      <c r="C7" s="105"/>
      <c r="D7" s="105"/>
      <c r="E7" s="105"/>
      <c r="F7" s="105"/>
      <c r="G7" s="105"/>
      <c r="H7" s="105"/>
      <c r="I7" s="105"/>
      <c r="J7" s="105"/>
      <c r="K7" s="135"/>
    </row>
    <row r="8" spans="1:11" ht="15.75">
      <c r="A8" s="104"/>
      <c r="B8" s="105" t="s">
        <v>101</v>
      </c>
      <c r="C8" s="105"/>
      <c r="D8" s="105"/>
      <c r="E8" s="105"/>
      <c r="F8" s="105"/>
      <c r="G8" s="107" t="s">
        <v>102</v>
      </c>
      <c r="H8" s="108"/>
      <c r="I8" s="105"/>
      <c r="J8" s="105"/>
      <c r="K8" s="106"/>
    </row>
    <row r="9" spans="1:11" ht="15.75">
      <c r="A9" s="104"/>
      <c r="B9" s="105" t="s">
        <v>103</v>
      </c>
      <c r="C9" s="105"/>
      <c r="D9" s="105"/>
      <c r="E9" s="105"/>
      <c r="F9" s="105"/>
      <c r="G9" s="105" t="s">
        <v>104</v>
      </c>
      <c r="H9" s="105"/>
      <c r="I9" s="105"/>
      <c r="J9" s="105"/>
      <c r="K9" s="106"/>
    </row>
    <row r="10" spans="1:11" ht="15.75">
      <c r="A10" s="104"/>
      <c r="B10" s="105" t="s">
        <v>105</v>
      </c>
      <c r="C10" s="105"/>
      <c r="D10" s="105"/>
      <c r="E10" s="105"/>
      <c r="F10" s="105"/>
      <c r="G10" s="108" t="s">
        <v>106</v>
      </c>
      <c r="H10" s="108"/>
      <c r="I10" s="108"/>
      <c r="J10" s="108"/>
      <c r="K10" s="109"/>
    </row>
    <row r="11" spans="1:11" ht="15.75">
      <c r="A11" s="104"/>
      <c r="B11" s="105" t="s">
        <v>107</v>
      </c>
      <c r="C11" s="105"/>
      <c r="D11" s="105"/>
      <c r="E11" s="105"/>
      <c r="F11" s="105"/>
      <c r="G11" s="105" t="s">
        <v>108</v>
      </c>
      <c r="H11" s="105"/>
      <c r="I11" s="105"/>
      <c r="J11" s="105"/>
      <c r="K11" s="106"/>
    </row>
    <row r="12" spans="1:11" ht="15.75">
      <c r="A12" s="104"/>
      <c r="B12" s="105" t="s">
        <v>109</v>
      </c>
      <c r="C12" s="105"/>
      <c r="D12" s="105"/>
      <c r="E12" s="105"/>
      <c r="F12" s="105"/>
      <c r="G12" s="105" t="s">
        <v>110</v>
      </c>
      <c r="H12" s="105"/>
      <c r="I12" s="105"/>
      <c r="J12" s="105"/>
      <c r="K12" s="106"/>
    </row>
    <row r="13" spans="1:11" ht="15.75">
      <c r="A13" s="104"/>
      <c r="B13" s="105"/>
      <c r="C13" s="105"/>
      <c r="D13" s="105"/>
      <c r="E13" s="105"/>
      <c r="F13" s="105"/>
      <c r="G13" s="105" t="s">
        <v>111</v>
      </c>
      <c r="H13" s="105"/>
      <c r="I13" s="105"/>
      <c r="J13" s="105"/>
      <c r="K13" s="106"/>
    </row>
    <row r="14" spans="1:11" ht="15.75">
      <c r="A14" s="104"/>
      <c r="B14" s="105" t="s">
        <v>112</v>
      </c>
      <c r="C14" s="105"/>
      <c r="D14" s="105"/>
      <c r="E14" s="105"/>
      <c r="F14" s="105"/>
      <c r="G14" s="107"/>
      <c r="H14" s="108"/>
      <c r="I14" s="105"/>
      <c r="J14" s="105"/>
      <c r="K14" s="106"/>
    </row>
    <row r="15" spans="1:11" ht="15.75">
      <c r="A15" s="104"/>
      <c r="B15" s="105" t="s">
        <v>113</v>
      </c>
      <c r="C15" s="105"/>
      <c r="D15" s="105"/>
      <c r="E15" s="105"/>
      <c r="F15" s="105"/>
      <c r="G15" s="105"/>
      <c r="H15" s="105"/>
      <c r="I15" s="105"/>
      <c r="J15" s="105"/>
      <c r="K15" s="106"/>
    </row>
    <row r="16" spans="1:11" ht="15.75">
      <c r="A16" s="104"/>
      <c r="B16" s="105" t="s">
        <v>114</v>
      </c>
      <c r="C16" s="105"/>
      <c r="D16" s="105"/>
      <c r="E16" s="105"/>
      <c r="F16" s="105"/>
      <c r="G16" s="108"/>
      <c r="H16" s="108"/>
      <c r="I16" s="108"/>
      <c r="J16" s="108"/>
      <c r="K16" s="109"/>
    </row>
    <row r="17" spans="1:11" ht="15.75">
      <c r="A17" s="104"/>
      <c r="B17" s="105" t="s">
        <v>107</v>
      </c>
      <c r="C17" s="105"/>
      <c r="D17" s="105"/>
      <c r="E17" s="105"/>
      <c r="F17" s="105"/>
      <c r="G17" s="105"/>
      <c r="H17" s="105"/>
      <c r="I17" s="105"/>
      <c r="J17" s="105"/>
      <c r="K17" s="106"/>
    </row>
    <row r="18" spans="1:11" ht="15.75">
      <c r="A18" s="104"/>
      <c r="B18" s="105" t="s">
        <v>109</v>
      </c>
      <c r="C18" s="105"/>
      <c r="D18" s="105"/>
      <c r="E18" s="105"/>
      <c r="F18" s="105"/>
      <c r="G18" s="105"/>
      <c r="H18" s="105"/>
      <c r="I18" s="105"/>
      <c r="J18" s="105"/>
      <c r="K18" s="106"/>
    </row>
    <row r="19" spans="1:11" ht="15.75">
      <c r="A19" s="104"/>
      <c r="B19" s="105"/>
      <c r="C19" s="105"/>
      <c r="D19" s="105"/>
      <c r="E19" s="105"/>
      <c r="F19" s="105"/>
      <c r="G19" s="105"/>
      <c r="H19" s="105"/>
      <c r="I19" s="105"/>
      <c r="J19" s="105"/>
      <c r="K19" s="106"/>
    </row>
    <row r="20" spans="1:11" ht="15.75">
      <c r="A20" s="104"/>
      <c r="B20" s="105" t="s">
        <v>115</v>
      </c>
      <c r="C20" s="105"/>
      <c r="D20" s="105"/>
      <c r="E20" s="105"/>
      <c r="F20" s="105"/>
      <c r="G20" s="105"/>
      <c r="H20" s="105"/>
      <c r="I20" s="105"/>
      <c r="J20" s="105"/>
      <c r="K20" s="106"/>
    </row>
    <row r="21" spans="1:11" ht="15.75">
      <c r="A21" s="104"/>
      <c r="B21" s="105" t="s">
        <v>116</v>
      </c>
      <c r="C21" s="105"/>
      <c r="D21" s="105"/>
      <c r="E21" s="105"/>
      <c r="F21" s="105"/>
      <c r="G21" s="105"/>
      <c r="H21" s="105"/>
      <c r="I21" s="105"/>
      <c r="J21" s="105"/>
      <c r="K21" s="106"/>
    </row>
    <row r="22" spans="1:11" ht="15.75">
      <c r="A22" s="104"/>
      <c r="B22" s="105"/>
      <c r="C22" s="105"/>
      <c r="D22" s="105"/>
      <c r="E22" s="105"/>
      <c r="F22" s="105"/>
      <c r="G22" s="105"/>
      <c r="H22" s="105"/>
      <c r="I22" s="105"/>
      <c r="J22" s="105"/>
      <c r="K22" s="106"/>
    </row>
    <row r="23" spans="1:11" ht="15.75">
      <c r="A23" s="411" t="s">
        <v>117</v>
      </c>
      <c r="B23" s="412"/>
      <c r="C23" s="412"/>
      <c r="D23" s="412"/>
      <c r="E23" s="412"/>
      <c r="F23" s="412"/>
      <c r="G23" s="412"/>
      <c r="H23" s="412"/>
      <c r="I23" s="412"/>
      <c r="J23" s="105"/>
      <c r="K23" s="106"/>
    </row>
    <row r="24" spans="1:11" ht="15.75">
      <c r="A24" s="411" t="s">
        <v>118</v>
      </c>
      <c r="B24" s="412"/>
      <c r="C24" s="412"/>
      <c r="D24" s="412"/>
      <c r="E24" s="412"/>
      <c r="F24" s="412"/>
      <c r="G24" s="412"/>
      <c r="H24" s="412"/>
      <c r="I24" s="412"/>
      <c r="J24" s="105"/>
      <c r="K24" s="106"/>
    </row>
    <row r="25" spans="1:11" ht="15.75">
      <c r="A25" s="104"/>
      <c r="B25" s="105" t="s">
        <v>119</v>
      </c>
      <c r="C25" s="105"/>
      <c r="D25" s="105"/>
      <c r="E25" s="105"/>
      <c r="F25" s="105"/>
      <c r="G25" s="105"/>
      <c r="H25" s="105"/>
      <c r="I25" s="105"/>
      <c r="J25" s="105"/>
      <c r="K25" s="106"/>
    </row>
    <row r="26" spans="1:11" ht="15.75">
      <c r="A26" s="104"/>
      <c r="B26" s="105" t="s">
        <v>120</v>
      </c>
      <c r="C26" s="105"/>
      <c r="D26" s="105"/>
      <c r="E26" s="105"/>
      <c r="F26" s="105"/>
      <c r="G26" s="105"/>
      <c r="H26" s="105"/>
      <c r="I26" s="105"/>
      <c r="J26" s="105"/>
      <c r="K26" s="106"/>
    </row>
    <row r="27" spans="1:11" ht="15.75">
      <c r="A27" s="104"/>
      <c r="B27" s="105" t="s">
        <v>121</v>
      </c>
      <c r="C27" s="105"/>
      <c r="D27" s="105"/>
      <c r="E27" s="105"/>
      <c r="F27" s="105"/>
      <c r="G27" s="105"/>
      <c r="H27" s="105"/>
      <c r="I27" s="105"/>
      <c r="J27" s="105"/>
      <c r="K27" s="106"/>
    </row>
    <row r="28" spans="1:11" ht="15.75">
      <c r="A28" s="104"/>
      <c r="B28" s="105" t="s">
        <v>122</v>
      </c>
      <c r="C28" s="105"/>
      <c r="D28" s="105"/>
      <c r="E28" s="105"/>
      <c r="F28" s="105"/>
      <c r="G28" s="105"/>
      <c r="H28" s="105"/>
      <c r="I28" s="105"/>
      <c r="J28" s="105"/>
      <c r="K28" s="106"/>
    </row>
    <row r="29" spans="1:11" ht="15.75">
      <c r="A29" s="104"/>
      <c r="B29" s="105" t="s">
        <v>123</v>
      </c>
      <c r="C29" s="105"/>
      <c r="D29" s="105"/>
      <c r="E29" s="105"/>
      <c r="F29" s="105"/>
      <c r="G29" s="105"/>
      <c r="H29" s="105"/>
      <c r="I29" s="105"/>
      <c r="J29" s="105"/>
      <c r="K29" s="106"/>
    </row>
    <row r="30" spans="1:11" ht="15.75">
      <c r="A30" s="104"/>
      <c r="B30" s="105" t="s">
        <v>124</v>
      </c>
      <c r="C30" s="105"/>
      <c r="D30" s="105"/>
      <c r="E30" s="105"/>
      <c r="F30" s="105"/>
      <c r="G30" s="105"/>
      <c r="H30" s="105"/>
      <c r="I30" s="105"/>
      <c r="J30" s="105"/>
      <c r="K30" s="106"/>
    </row>
    <row r="31" spans="1:11" ht="15.75">
      <c r="A31" s="104"/>
      <c r="B31" s="105" t="s">
        <v>125</v>
      </c>
      <c r="C31" s="105"/>
      <c r="D31" s="105"/>
      <c r="E31" s="105"/>
      <c r="F31" s="105"/>
      <c r="G31" s="105"/>
      <c r="H31" s="105"/>
      <c r="I31" s="105"/>
      <c r="J31" s="105"/>
      <c r="K31" s="106"/>
    </row>
    <row r="32" spans="1:11" ht="15.75">
      <c r="A32" s="104"/>
      <c r="B32" s="105" t="s">
        <v>126</v>
      </c>
      <c r="C32" s="105"/>
      <c r="D32" s="105"/>
      <c r="E32" s="105"/>
      <c r="F32" s="105"/>
      <c r="G32" s="105"/>
      <c r="H32" s="105"/>
      <c r="I32" s="105"/>
      <c r="J32" s="105"/>
      <c r="K32" s="106"/>
    </row>
    <row r="33" spans="1:11" ht="15.75">
      <c r="A33" s="104"/>
      <c r="B33" s="105"/>
      <c r="C33" s="105"/>
      <c r="D33" s="105"/>
      <c r="E33" s="105"/>
      <c r="F33" s="105"/>
      <c r="G33" s="105"/>
      <c r="H33" s="105"/>
      <c r="I33" s="105"/>
      <c r="J33" s="105"/>
      <c r="K33" s="106"/>
    </row>
    <row r="34" spans="1:11" ht="15.75">
      <c r="A34" s="104" t="s">
        <v>127</v>
      </c>
      <c r="B34" s="105"/>
      <c r="C34" s="105"/>
      <c r="D34" s="105"/>
      <c r="E34" s="105"/>
      <c r="F34" s="105"/>
      <c r="G34" s="105"/>
      <c r="H34" s="105"/>
      <c r="I34" s="105"/>
      <c r="J34" s="105"/>
      <c r="K34" s="106"/>
    </row>
    <row r="35" spans="1:11" ht="15.75">
      <c r="A35" s="104" t="s">
        <v>128</v>
      </c>
      <c r="B35" s="105"/>
      <c r="C35" s="105"/>
      <c r="D35" s="105"/>
      <c r="E35" s="105"/>
      <c r="F35" s="105"/>
      <c r="G35" s="105"/>
      <c r="H35" s="105"/>
      <c r="I35" s="105"/>
      <c r="J35" s="105"/>
      <c r="K35" s="106"/>
    </row>
    <row r="36" spans="1:11" ht="15.75">
      <c r="A36" s="104" t="s">
        <v>129</v>
      </c>
      <c r="B36" s="105"/>
      <c r="C36" s="105"/>
      <c r="D36" s="105"/>
      <c r="E36" s="105"/>
      <c r="F36" s="105"/>
      <c r="G36" s="105"/>
      <c r="H36" s="105"/>
      <c r="I36" s="105"/>
      <c r="J36" s="105"/>
      <c r="K36" s="106"/>
    </row>
    <row r="37" spans="1:11" ht="15.75">
      <c r="A37" s="104" t="s">
        <v>130</v>
      </c>
      <c r="B37" s="105"/>
      <c r="C37" s="105"/>
      <c r="D37" s="105"/>
      <c r="E37" s="105"/>
      <c r="F37" s="105"/>
      <c r="G37" s="105"/>
      <c r="H37" s="105"/>
      <c r="I37" s="105"/>
      <c r="J37" s="105"/>
      <c r="K37" s="106"/>
    </row>
    <row r="38" spans="1:11" ht="15.75">
      <c r="A38" s="104"/>
      <c r="B38" s="105"/>
      <c r="C38" s="105"/>
      <c r="D38" s="105"/>
      <c r="E38" s="105"/>
      <c r="F38" s="105"/>
      <c r="G38" s="105"/>
      <c r="H38" s="105"/>
      <c r="I38" s="105"/>
      <c r="J38" s="105"/>
      <c r="K38" s="106"/>
    </row>
    <row r="39" spans="1:11" ht="15.75">
      <c r="A39" s="104" t="s">
        <v>131</v>
      </c>
      <c r="B39" s="110">
        <v>45165</v>
      </c>
      <c r="C39" s="105"/>
      <c r="D39" s="105"/>
      <c r="E39" s="105"/>
      <c r="F39" s="105"/>
      <c r="G39" s="105"/>
      <c r="H39" s="105"/>
      <c r="I39" s="111"/>
      <c r="J39" s="105"/>
      <c r="K39" s="112" t="s">
        <v>89</v>
      </c>
    </row>
    <row r="40" spans="1:11" ht="15.75">
      <c r="A40" s="104"/>
      <c r="B40" s="105"/>
      <c r="C40" s="105"/>
      <c r="D40" s="105"/>
      <c r="E40" s="105"/>
      <c r="F40" s="105"/>
      <c r="G40" s="105"/>
      <c r="H40" s="105"/>
      <c r="I40" s="105"/>
      <c r="J40" s="105"/>
      <c r="K40" s="106"/>
    </row>
    <row r="41" spans="1:11" ht="15.75">
      <c r="A41" s="104" t="s">
        <v>132</v>
      </c>
      <c r="B41" s="105" t="s">
        <v>28</v>
      </c>
      <c r="C41" s="105"/>
      <c r="D41" s="105"/>
      <c r="E41" s="105"/>
      <c r="F41" s="105"/>
      <c r="G41" s="105"/>
      <c r="H41" s="105"/>
      <c r="I41" s="105"/>
      <c r="J41" s="105"/>
      <c r="K41" s="106"/>
    </row>
    <row r="42" spans="1:11" ht="15.75">
      <c r="A42" s="104"/>
      <c r="B42" s="105"/>
      <c r="C42" s="105"/>
      <c r="D42" s="105"/>
      <c r="E42" s="105"/>
      <c r="F42" s="105"/>
      <c r="G42" s="105"/>
      <c r="H42" s="113"/>
      <c r="I42" s="111"/>
      <c r="J42" s="105"/>
      <c r="K42" s="112" t="s">
        <v>69</v>
      </c>
    </row>
    <row r="43" spans="1:11" ht="16.5" thickBot="1">
      <c r="A43" s="114"/>
      <c r="B43" s="115"/>
      <c r="C43" s="115"/>
      <c r="D43" s="115"/>
      <c r="E43" s="115"/>
      <c r="F43" s="115"/>
      <c r="G43" s="115"/>
      <c r="H43" s="115"/>
      <c r="I43" s="115"/>
      <c r="J43" s="115"/>
      <c r="K43" s="116"/>
    </row>
  </sheetData>
  <mergeCells count="6">
    <mergeCell ref="A24:I24"/>
    <mergeCell ref="A1:K1"/>
    <mergeCell ref="A2:K2"/>
    <mergeCell ref="A3:K3"/>
    <mergeCell ref="A4:K4"/>
    <mergeCell ref="A23:I23"/>
  </mergeCells>
  <pageMargins left="0.51181102362204722" right="0.31496062992125984" top="0.35433070866141736" bottom="0.35433070866141736"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5"/>
  <sheetViews>
    <sheetView topLeftCell="A24" workbookViewId="0">
      <selection activeCell="B45" sqref="B45"/>
    </sheetView>
  </sheetViews>
  <sheetFormatPr defaultRowHeight="12.75"/>
  <cols>
    <col min="2" max="2" width="9.7109375" bestFit="1" customWidth="1"/>
  </cols>
  <sheetData>
    <row r="1" spans="1:11" ht="18.75" thickBot="1">
      <c r="A1" s="430" t="s">
        <v>133</v>
      </c>
      <c r="B1" s="431"/>
      <c r="C1" s="431"/>
      <c r="D1" s="431"/>
      <c r="E1" s="431"/>
      <c r="F1" s="431"/>
      <c r="G1" s="431"/>
      <c r="H1" s="431"/>
      <c r="I1" s="431"/>
      <c r="J1" s="431"/>
      <c r="K1" s="432"/>
    </row>
    <row r="2" spans="1:11">
      <c r="A2" s="433" t="s">
        <v>134</v>
      </c>
      <c r="B2" s="434"/>
      <c r="C2" s="434"/>
      <c r="D2" s="434"/>
      <c r="E2" s="434"/>
      <c r="F2" s="434"/>
      <c r="G2" s="434"/>
      <c r="H2" s="434"/>
      <c r="I2" s="434"/>
      <c r="J2" s="434"/>
      <c r="K2" s="435"/>
    </row>
    <row r="3" spans="1:11" ht="14.25">
      <c r="A3" s="436" t="s">
        <v>135</v>
      </c>
      <c r="B3" s="437"/>
      <c r="C3" s="437"/>
      <c r="D3" s="437"/>
      <c r="E3" s="437"/>
      <c r="F3" s="437"/>
      <c r="G3" s="437"/>
      <c r="H3" s="437"/>
      <c r="I3" s="437"/>
      <c r="J3" s="437"/>
      <c r="K3" s="438"/>
    </row>
    <row r="4" spans="1:11">
      <c r="A4" s="117"/>
      <c r="K4" s="15"/>
    </row>
    <row r="5" spans="1:11" ht="15">
      <c r="A5" s="118" t="s">
        <v>136</v>
      </c>
      <c r="B5" s="119" t="s">
        <v>137</v>
      </c>
      <c r="C5" s="119"/>
      <c r="D5" s="119"/>
      <c r="E5" s="439"/>
      <c r="F5" s="440"/>
      <c r="G5" s="440"/>
      <c r="H5" s="441"/>
      <c r="I5" s="427" t="s">
        <v>229</v>
      </c>
      <c r="J5" s="440"/>
      <c r="K5" s="442"/>
    </row>
    <row r="6" spans="1:11" ht="15">
      <c r="A6" s="118"/>
      <c r="B6" s="119"/>
      <c r="C6" s="119"/>
      <c r="D6" s="119"/>
      <c r="E6" s="119"/>
      <c r="F6" s="119"/>
      <c r="G6" s="119"/>
      <c r="H6" s="119"/>
      <c r="I6" s="119"/>
      <c r="J6" s="119"/>
      <c r="K6" s="120"/>
    </row>
    <row r="7" spans="1:11" ht="15">
      <c r="A7" s="118" t="s">
        <v>138</v>
      </c>
      <c r="B7" s="119" t="s">
        <v>139</v>
      </c>
      <c r="C7" s="119"/>
      <c r="D7" s="119"/>
      <c r="E7" s="427" t="s">
        <v>370</v>
      </c>
      <c r="F7" s="428"/>
      <c r="G7" s="428"/>
      <c r="H7" s="429"/>
      <c r="I7" s="417">
        <v>45165</v>
      </c>
      <c r="J7" s="418"/>
      <c r="K7" s="419"/>
    </row>
    <row r="8" spans="1:11" ht="15">
      <c r="A8" s="118"/>
      <c r="B8" s="119"/>
      <c r="C8" s="119"/>
      <c r="D8" s="119"/>
      <c r="E8" s="119"/>
      <c r="F8" s="119"/>
      <c r="G8" s="119"/>
      <c r="H8" s="119"/>
      <c r="I8" s="119"/>
      <c r="J8" s="119"/>
      <c r="K8" s="120"/>
    </row>
    <row r="9" spans="1:11" ht="15">
      <c r="A9" s="118" t="s">
        <v>140</v>
      </c>
      <c r="B9" s="119" t="s">
        <v>141</v>
      </c>
      <c r="C9" s="119"/>
      <c r="D9" s="119"/>
      <c r="E9" s="121"/>
      <c r="F9" s="119"/>
      <c r="G9" s="119"/>
      <c r="H9" s="119"/>
      <c r="I9" s="119"/>
      <c r="J9" s="119"/>
      <c r="K9" s="120"/>
    </row>
    <row r="10" spans="1:11" ht="15">
      <c r="A10" s="118"/>
      <c r="B10" s="119"/>
      <c r="C10" s="119"/>
      <c r="D10" s="119"/>
      <c r="E10" s="119"/>
      <c r="F10" s="119"/>
      <c r="G10" s="119"/>
      <c r="H10" s="119"/>
      <c r="I10" s="119"/>
      <c r="J10" s="119"/>
      <c r="K10" s="120"/>
    </row>
    <row r="11" spans="1:11" ht="15">
      <c r="A11" s="118"/>
      <c r="B11" s="119" t="s">
        <v>142</v>
      </c>
      <c r="C11" s="122" t="s">
        <v>31</v>
      </c>
      <c r="D11" s="420" t="s">
        <v>143</v>
      </c>
      <c r="E11" s="421"/>
      <c r="F11" s="421"/>
      <c r="G11" s="124"/>
      <c r="H11" s="123" t="s">
        <v>144</v>
      </c>
      <c r="I11" s="124"/>
      <c r="J11" s="119"/>
      <c r="K11" s="120"/>
    </row>
    <row r="12" spans="1:11" ht="15">
      <c r="A12" s="118"/>
      <c r="B12" s="119" t="s">
        <v>145</v>
      </c>
      <c r="C12" s="124"/>
      <c r="D12" s="119"/>
      <c r="E12" s="119"/>
      <c r="F12" s="123" t="s">
        <v>146</v>
      </c>
      <c r="G12" s="124"/>
      <c r="H12" s="119"/>
      <c r="I12" s="119"/>
      <c r="J12" s="119"/>
      <c r="K12" s="120"/>
    </row>
    <row r="13" spans="1:11" ht="15">
      <c r="A13" s="118"/>
      <c r="B13" s="119"/>
      <c r="C13" s="119"/>
      <c r="D13" s="119"/>
      <c r="E13" s="119"/>
      <c r="F13" s="123"/>
      <c r="G13" s="119"/>
      <c r="H13" s="119"/>
      <c r="I13" s="119"/>
      <c r="J13" s="119"/>
      <c r="K13" s="120"/>
    </row>
    <row r="14" spans="1:11" ht="15">
      <c r="A14" s="118" t="s">
        <v>147</v>
      </c>
      <c r="B14" s="119" t="s">
        <v>148</v>
      </c>
      <c r="C14" s="119"/>
      <c r="D14" s="119"/>
      <c r="E14" s="119" t="s">
        <v>149</v>
      </c>
      <c r="F14" s="124"/>
      <c r="G14" s="119"/>
      <c r="H14" s="119" t="s">
        <v>150</v>
      </c>
      <c r="I14" s="124"/>
      <c r="J14" s="119"/>
      <c r="K14" s="120"/>
    </row>
    <row r="15" spans="1:11" ht="15">
      <c r="A15" s="118"/>
      <c r="B15" s="119" t="s">
        <v>151</v>
      </c>
      <c r="C15" s="124"/>
      <c r="D15" s="123" t="s">
        <v>152</v>
      </c>
      <c r="E15" s="124"/>
      <c r="F15" s="119"/>
      <c r="G15" s="119"/>
      <c r="H15" s="119"/>
      <c r="I15" s="119"/>
      <c r="J15" s="119"/>
      <c r="K15" s="120"/>
    </row>
    <row r="16" spans="1:11" ht="15">
      <c r="A16" s="118"/>
      <c r="B16" s="119" t="s">
        <v>153</v>
      </c>
      <c r="C16" s="119"/>
      <c r="D16" s="119"/>
      <c r="E16" s="119"/>
      <c r="F16" s="119"/>
      <c r="G16" s="119"/>
      <c r="H16" s="119"/>
      <c r="I16" s="119"/>
      <c r="J16" s="119"/>
      <c r="K16" s="120"/>
    </row>
    <row r="17" spans="1:11" ht="15">
      <c r="A17" s="118"/>
      <c r="B17" s="119"/>
      <c r="C17" s="119"/>
      <c r="D17" s="119"/>
      <c r="E17" s="119"/>
      <c r="F17" s="119"/>
      <c r="G17" s="119"/>
      <c r="H17" s="119"/>
      <c r="I17" s="119"/>
      <c r="J17" s="119"/>
      <c r="K17" s="120"/>
    </row>
    <row r="18" spans="1:11" ht="15">
      <c r="A18" s="118" t="s">
        <v>154</v>
      </c>
      <c r="B18" s="119" t="s">
        <v>155</v>
      </c>
      <c r="C18" s="119"/>
      <c r="D18" s="119"/>
      <c r="E18" s="123" t="s">
        <v>31</v>
      </c>
      <c r="F18" s="124"/>
      <c r="G18" s="119"/>
      <c r="H18" s="123" t="s">
        <v>156</v>
      </c>
      <c r="I18" s="122" t="s">
        <v>157</v>
      </c>
      <c r="J18" s="119"/>
      <c r="K18" s="120"/>
    </row>
    <row r="19" spans="1:11" ht="15">
      <c r="A19" s="118"/>
      <c r="B19" s="119" t="s">
        <v>158</v>
      </c>
      <c r="C19" s="119"/>
      <c r="D19" s="119"/>
      <c r="E19" s="119"/>
      <c r="F19" s="119"/>
      <c r="G19" s="119"/>
      <c r="H19" s="119"/>
      <c r="I19" s="123"/>
      <c r="J19" s="119"/>
      <c r="K19" s="120"/>
    </row>
    <row r="20" spans="1:11" ht="15">
      <c r="A20" s="118" t="s">
        <v>159</v>
      </c>
      <c r="B20" s="119" t="s">
        <v>160</v>
      </c>
      <c r="C20" s="119"/>
      <c r="D20" s="119"/>
      <c r="E20" s="123" t="s">
        <v>31</v>
      </c>
      <c r="F20" s="124"/>
      <c r="G20" s="119"/>
      <c r="H20" s="123" t="s">
        <v>156</v>
      </c>
      <c r="I20" s="122" t="s">
        <v>157</v>
      </c>
      <c r="J20" s="119"/>
      <c r="K20" s="120"/>
    </row>
    <row r="21" spans="1:11" ht="15">
      <c r="A21" s="118"/>
      <c r="B21" s="119" t="s">
        <v>161</v>
      </c>
      <c r="C21" s="119"/>
      <c r="D21" s="119"/>
      <c r="E21" s="119"/>
      <c r="F21" s="119"/>
      <c r="G21" s="119"/>
      <c r="H21" s="119"/>
      <c r="I21" s="119"/>
      <c r="J21" s="119"/>
      <c r="K21" s="120"/>
    </row>
    <row r="22" spans="1:11" ht="15">
      <c r="A22" s="118"/>
      <c r="B22" s="119"/>
      <c r="C22" s="119"/>
      <c r="D22" s="119"/>
      <c r="E22" s="119"/>
      <c r="F22" s="119"/>
      <c r="G22" s="119"/>
      <c r="H22" s="119"/>
      <c r="I22" s="119"/>
      <c r="J22" s="119"/>
      <c r="K22" s="120"/>
    </row>
    <row r="23" spans="1:11" ht="15">
      <c r="A23" s="118" t="s">
        <v>162</v>
      </c>
      <c r="B23" s="119" t="s">
        <v>163</v>
      </c>
      <c r="C23" s="119"/>
      <c r="D23" s="119"/>
      <c r="E23" s="121" t="s">
        <v>389</v>
      </c>
      <c r="F23" s="119"/>
      <c r="G23" s="119"/>
      <c r="H23" s="119"/>
      <c r="I23" s="119"/>
      <c r="J23" s="119"/>
      <c r="K23" s="120"/>
    </row>
    <row r="24" spans="1:11" ht="15">
      <c r="A24" s="118"/>
      <c r="B24" s="119"/>
      <c r="C24" s="119"/>
      <c r="D24" s="119"/>
      <c r="E24" s="119"/>
      <c r="F24" s="119"/>
      <c r="G24" s="119"/>
      <c r="H24" s="119"/>
      <c r="I24" s="119"/>
      <c r="J24" s="119"/>
      <c r="K24" s="120"/>
    </row>
    <row r="25" spans="1:11" ht="15">
      <c r="A25" s="118" t="s">
        <v>164</v>
      </c>
      <c r="B25" s="119" t="s">
        <v>25</v>
      </c>
      <c r="C25" s="119"/>
      <c r="D25" s="119"/>
      <c r="E25" s="121" t="s">
        <v>165</v>
      </c>
      <c r="F25" s="119"/>
      <c r="G25" s="119"/>
      <c r="H25" s="119"/>
      <c r="I25" s="119"/>
      <c r="J25" s="119"/>
      <c r="K25" s="120"/>
    </row>
    <row r="26" spans="1:11" ht="15">
      <c r="A26" s="118"/>
      <c r="B26" s="119"/>
      <c r="C26" s="119"/>
      <c r="D26" s="119"/>
      <c r="E26" s="119"/>
      <c r="F26" s="119"/>
      <c r="G26" s="119"/>
      <c r="H26" s="119"/>
      <c r="I26" s="119"/>
      <c r="J26" s="119"/>
      <c r="K26" s="120"/>
    </row>
    <row r="27" spans="1:11" ht="15">
      <c r="A27" s="118" t="s">
        <v>166</v>
      </c>
      <c r="B27" s="119" t="s">
        <v>167</v>
      </c>
      <c r="C27" s="119"/>
      <c r="D27" s="119"/>
      <c r="E27" s="119"/>
      <c r="F27" s="119"/>
      <c r="G27" s="119"/>
      <c r="H27" s="119"/>
      <c r="I27" s="119"/>
      <c r="J27" s="119"/>
      <c r="K27" s="120"/>
    </row>
    <row r="28" spans="1:11" ht="15">
      <c r="A28" s="118"/>
      <c r="B28" s="119" t="s">
        <v>168</v>
      </c>
      <c r="C28" s="119"/>
      <c r="D28" s="119"/>
      <c r="E28" s="119"/>
      <c r="F28" s="119"/>
      <c r="G28" s="119"/>
      <c r="H28" s="119"/>
      <c r="I28" s="119"/>
      <c r="J28" s="119"/>
      <c r="K28" s="120"/>
    </row>
    <row r="29" spans="1:11" ht="15">
      <c r="A29" s="118" t="s">
        <v>169</v>
      </c>
      <c r="B29" s="119" t="s">
        <v>170</v>
      </c>
      <c r="C29" s="119"/>
      <c r="D29" s="119"/>
      <c r="E29" s="119"/>
      <c r="F29" s="119"/>
      <c r="G29" s="119"/>
      <c r="H29" s="119"/>
      <c r="I29" s="119"/>
      <c r="J29" s="119"/>
      <c r="K29" s="120"/>
    </row>
    <row r="30" spans="1:11" ht="15">
      <c r="A30" s="118"/>
      <c r="B30" s="119"/>
      <c r="C30" s="119"/>
      <c r="D30" s="119"/>
      <c r="E30" s="119"/>
      <c r="F30" s="119"/>
      <c r="G30" s="119"/>
      <c r="H30" s="119"/>
      <c r="I30" s="119"/>
      <c r="J30" s="119"/>
      <c r="K30" s="120"/>
    </row>
    <row r="31" spans="1:11" ht="15">
      <c r="A31" s="422" t="s">
        <v>171</v>
      </c>
      <c r="B31" s="423"/>
      <c r="C31" s="119"/>
      <c r="D31" s="119"/>
      <c r="E31" s="119"/>
      <c r="F31" s="119"/>
      <c r="G31" s="119"/>
      <c r="H31" s="119"/>
      <c r="I31" s="119"/>
      <c r="J31" s="119"/>
      <c r="K31" s="120"/>
    </row>
    <row r="32" spans="1:11">
      <c r="A32" s="117"/>
      <c r="K32" s="15"/>
    </row>
    <row r="33" spans="1:11" ht="14.25">
      <c r="A33" s="125" t="s">
        <v>136</v>
      </c>
      <c r="B33" s="126" t="s">
        <v>172</v>
      </c>
      <c r="C33" s="126"/>
      <c r="D33" s="126"/>
      <c r="E33" s="126"/>
      <c r="F33" s="126"/>
      <c r="G33" s="126"/>
      <c r="H33" s="126"/>
      <c r="I33" s="126"/>
      <c r="J33" s="126"/>
      <c r="K33" s="127"/>
    </row>
    <row r="34" spans="1:11" ht="14.25">
      <c r="A34" s="125" t="s">
        <v>173</v>
      </c>
      <c r="B34" s="126"/>
      <c r="C34" s="126"/>
      <c r="D34" s="126"/>
      <c r="E34" s="126"/>
      <c r="F34" s="126"/>
      <c r="G34" s="126"/>
      <c r="H34" s="126"/>
      <c r="I34" s="126"/>
      <c r="J34" s="126"/>
      <c r="K34" s="127"/>
    </row>
    <row r="35" spans="1:11" ht="14.25">
      <c r="A35" s="125"/>
      <c r="B35" s="126"/>
      <c r="C35" s="126"/>
      <c r="D35" s="126"/>
      <c r="E35" s="126"/>
      <c r="F35" s="126"/>
      <c r="G35" s="126"/>
      <c r="H35" s="126"/>
      <c r="I35" s="126"/>
      <c r="J35" s="126"/>
      <c r="K35" s="127"/>
    </row>
    <row r="36" spans="1:11" ht="14.25">
      <c r="A36" s="125" t="s">
        <v>138</v>
      </c>
      <c r="B36" s="126" t="s">
        <v>174</v>
      </c>
      <c r="C36" s="126"/>
      <c r="D36" s="126"/>
      <c r="E36" s="126"/>
      <c r="F36" s="126"/>
      <c r="G36" s="126"/>
      <c r="H36" s="126"/>
      <c r="I36" s="126"/>
      <c r="J36" s="126"/>
      <c r="K36" s="127"/>
    </row>
    <row r="37" spans="1:11" ht="14.25">
      <c r="A37" s="125" t="s">
        <v>175</v>
      </c>
      <c r="B37" s="126"/>
      <c r="C37" s="126"/>
      <c r="D37" s="126"/>
      <c r="E37" s="126"/>
      <c r="F37" s="126"/>
      <c r="G37" s="126"/>
      <c r="H37" s="126"/>
      <c r="I37" s="126"/>
      <c r="J37" s="126"/>
      <c r="K37" s="127"/>
    </row>
    <row r="38" spans="1:11" ht="14.25">
      <c r="A38" s="125" t="s">
        <v>176</v>
      </c>
      <c r="B38" s="126"/>
      <c r="C38" s="126"/>
      <c r="D38" s="126"/>
      <c r="E38" s="126"/>
      <c r="F38" s="126"/>
      <c r="G38" s="126"/>
      <c r="H38" s="126"/>
      <c r="I38" s="126"/>
      <c r="J38" s="126"/>
      <c r="K38" s="127"/>
    </row>
    <row r="39" spans="1:11" ht="15">
      <c r="A39" s="125"/>
      <c r="B39" s="126"/>
      <c r="C39" s="126"/>
      <c r="D39" s="126"/>
      <c r="E39" s="126"/>
      <c r="F39" s="126"/>
      <c r="G39" s="126"/>
      <c r="H39" s="424"/>
      <c r="I39" s="424"/>
      <c r="J39" s="424"/>
      <c r="K39" s="425"/>
    </row>
    <row r="40" spans="1:11" ht="15.75">
      <c r="A40" s="117" t="s">
        <v>177</v>
      </c>
      <c r="B40" s="128" t="s">
        <v>28</v>
      </c>
      <c r="H40" s="129"/>
      <c r="I40" s="129"/>
      <c r="J40" s="129"/>
      <c r="K40" s="130" t="s">
        <v>89</v>
      </c>
    </row>
    <row r="41" spans="1:11" ht="15">
      <c r="A41" s="117"/>
      <c r="B41" s="128"/>
      <c r="H41" s="131"/>
      <c r="I41" s="129"/>
      <c r="J41" s="129"/>
      <c r="K41" s="132"/>
    </row>
    <row r="42" spans="1:11" ht="15">
      <c r="A42" s="117" t="s">
        <v>131</v>
      </c>
      <c r="B42" s="133">
        <v>45165</v>
      </c>
      <c r="H42" s="131"/>
      <c r="I42" s="134"/>
      <c r="J42" s="134"/>
      <c r="K42" s="135"/>
    </row>
    <row r="43" spans="1:11" ht="15.75">
      <c r="A43" s="117"/>
      <c r="K43" s="112" t="s">
        <v>69</v>
      </c>
    </row>
    <row r="44" spans="1:11">
      <c r="A44" s="117"/>
      <c r="F44" s="426"/>
      <c r="G44" s="426"/>
      <c r="H44" s="426"/>
      <c r="I44" s="426"/>
      <c r="J44" s="426"/>
      <c r="K44" s="15"/>
    </row>
    <row r="45" spans="1:11" ht="13.5" thickBot="1">
      <c r="A45" s="136"/>
      <c r="B45" s="137"/>
      <c r="C45" s="137"/>
      <c r="D45" s="137"/>
      <c r="E45" s="137"/>
      <c r="F45" s="137"/>
      <c r="G45" s="137"/>
      <c r="H45" s="137"/>
      <c r="I45" s="137"/>
      <c r="J45" s="137"/>
      <c r="K45" s="16"/>
    </row>
  </sheetData>
  <mergeCells count="11">
    <mergeCell ref="A1:K1"/>
    <mergeCell ref="A2:K2"/>
    <mergeCell ref="A3:K3"/>
    <mergeCell ref="E5:H5"/>
    <mergeCell ref="I5:K5"/>
    <mergeCell ref="I7:K7"/>
    <mergeCell ref="D11:F11"/>
    <mergeCell ref="A31:B31"/>
    <mergeCell ref="H39:K39"/>
    <mergeCell ref="F44:J44"/>
    <mergeCell ref="E7:H7"/>
  </mergeCells>
  <pageMargins left="0.70866141732283472" right="0.31496062992125984" top="0.74803149606299213" bottom="0.55118110236220474" header="0.31496062992125984" footer="0.31496062992125984"/>
  <pageSetup paperSize="9" scale="9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3"/>
  <sheetViews>
    <sheetView workbookViewId="0">
      <selection sqref="A1:K1"/>
    </sheetView>
  </sheetViews>
  <sheetFormatPr defaultRowHeight="12.75"/>
  <cols>
    <col min="2" max="2" width="10.5703125" bestFit="1" customWidth="1"/>
  </cols>
  <sheetData>
    <row r="1" spans="1:11" ht="18">
      <c r="A1" s="443" t="s">
        <v>202</v>
      </c>
      <c r="B1" s="444"/>
      <c r="C1" s="444"/>
      <c r="D1" s="444"/>
      <c r="E1" s="444"/>
      <c r="F1" s="444"/>
      <c r="G1" s="444"/>
      <c r="H1" s="444"/>
      <c r="I1" s="444"/>
      <c r="J1" s="444"/>
      <c r="K1" s="445"/>
    </row>
    <row r="2" spans="1:11" ht="18.75">
      <c r="A2" s="446" t="s">
        <v>203</v>
      </c>
      <c r="B2" s="447"/>
      <c r="C2" s="448"/>
      <c r="D2" s="449"/>
      <c r="E2" s="449"/>
      <c r="F2" s="449"/>
      <c r="G2" s="450"/>
      <c r="H2" s="141" t="s">
        <v>131</v>
      </c>
      <c r="I2" s="451">
        <v>45165</v>
      </c>
      <c r="J2" s="452"/>
      <c r="K2" s="453"/>
    </row>
    <row r="3" spans="1:11" ht="18.75">
      <c r="A3" s="142"/>
      <c r="B3" s="143"/>
      <c r="C3" s="143"/>
      <c r="D3" s="143"/>
      <c r="E3" s="143"/>
      <c r="F3" s="143"/>
      <c r="G3" s="143"/>
      <c r="H3" s="143"/>
      <c r="I3" s="143"/>
      <c r="J3" s="143"/>
      <c r="K3" s="144"/>
    </row>
    <row r="4" spans="1:11" ht="18.75">
      <c r="A4" s="454" t="s">
        <v>204</v>
      </c>
      <c r="B4" s="455"/>
      <c r="C4" s="455"/>
      <c r="D4" s="455"/>
      <c r="E4" s="455"/>
      <c r="F4" s="455"/>
      <c r="G4" s="455"/>
      <c r="H4" s="455"/>
      <c r="I4" s="455"/>
      <c r="J4" s="455"/>
      <c r="K4" s="456"/>
    </row>
    <row r="5" spans="1:11" ht="18.75">
      <c r="A5" s="142"/>
      <c r="B5" s="143"/>
      <c r="C5" s="143"/>
      <c r="D5" s="143"/>
      <c r="E5" s="143"/>
      <c r="F5" s="143"/>
      <c r="G5" s="143"/>
      <c r="H5" s="143"/>
      <c r="I5" s="143"/>
      <c r="J5" s="143"/>
      <c r="K5" s="144"/>
    </row>
    <row r="6" spans="1:11" ht="18.75">
      <c r="A6" s="460" t="s">
        <v>205</v>
      </c>
      <c r="B6" s="461"/>
      <c r="C6" s="461"/>
      <c r="D6" s="461"/>
      <c r="E6" s="461"/>
      <c r="F6" s="461"/>
      <c r="G6" s="461"/>
      <c r="H6" s="461"/>
      <c r="I6" s="461"/>
      <c r="J6" s="461"/>
      <c r="K6" s="462"/>
    </row>
    <row r="7" spans="1:11" ht="18.75">
      <c r="A7" s="142"/>
      <c r="B7" s="143"/>
      <c r="C7" s="143"/>
      <c r="D7" s="143"/>
      <c r="E7" s="143"/>
      <c r="F7" s="143"/>
      <c r="G7" s="143"/>
      <c r="H7" s="143"/>
      <c r="I7" s="143"/>
      <c r="J7" s="143"/>
      <c r="K7" s="144"/>
    </row>
    <row r="8" spans="1:11" ht="18.75">
      <c r="A8" s="457" t="s">
        <v>206</v>
      </c>
      <c r="B8" s="458"/>
      <c r="C8" s="458"/>
      <c r="D8" s="458"/>
      <c r="E8" s="458"/>
      <c r="F8" s="458"/>
      <c r="G8" s="458"/>
      <c r="H8" s="458"/>
      <c r="I8" s="458"/>
      <c r="J8" s="458"/>
      <c r="K8" s="459"/>
    </row>
    <row r="9" spans="1:11" ht="18.75">
      <c r="A9" s="142"/>
      <c r="B9" s="143"/>
      <c r="C9" s="143"/>
      <c r="D9" s="143"/>
      <c r="E9" s="143"/>
      <c r="F9" s="143"/>
      <c r="G9" s="143"/>
      <c r="H9" s="143"/>
      <c r="I9" s="143"/>
      <c r="J9" s="143"/>
      <c r="K9" s="144"/>
    </row>
    <row r="10" spans="1:11" ht="18.75">
      <c r="A10" s="457" t="s">
        <v>207</v>
      </c>
      <c r="B10" s="458"/>
      <c r="C10" s="458"/>
      <c r="D10" s="458"/>
      <c r="E10" s="458"/>
      <c r="F10" s="458"/>
      <c r="G10" s="458"/>
      <c r="H10" s="458"/>
      <c r="I10" s="458"/>
      <c r="J10" s="458"/>
      <c r="K10" s="459"/>
    </row>
    <row r="11" spans="1:11" ht="18.75">
      <c r="A11" s="142"/>
      <c r="B11" s="143"/>
      <c r="C11" s="143"/>
      <c r="D11" s="143"/>
      <c r="E11" s="143"/>
      <c r="F11" s="143"/>
      <c r="G11" s="143"/>
      <c r="H11" s="143"/>
      <c r="I11" s="143"/>
      <c r="J11" s="143"/>
      <c r="K11" s="144"/>
    </row>
    <row r="12" spans="1:11" ht="18.75">
      <c r="A12" s="460" t="s">
        <v>228</v>
      </c>
      <c r="B12" s="461"/>
      <c r="C12" s="461"/>
      <c r="D12" s="461"/>
      <c r="E12" s="461"/>
      <c r="F12" s="461"/>
      <c r="G12" s="461"/>
      <c r="H12" s="461"/>
      <c r="I12" s="461"/>
      <c r="J12" s="461"/>
      <c r="K12" s="462"/>
    </row>
    <row r="13" spans="1:11" ht="18.75">
      <c r="A13" s="142"/>
      <c r="B13" s="143"/>
      <c r="C13" s="143"/>
      <c r="D13" s="143"/>
      <c r="E13" s="143"/>
      <c r="F13" s="143"/>
      <c r="G13" s="143"/>
      <c r="H13" s="143"/>
      <c r="I13" s="143"/>
      <c r="J13" s="143"/>
      <c r="K13" s="144"/>
    </row>
    <row r="14" spans="1:11" ht="18.75">
      <c r="A14" s="457" t="s">
        <v>208</v>
      </c>
      <c r="B14" s="458"/>
      <c r="C14" s="458"/>
      <c r="D14" s="458"/>
      <c r="E14" s="458"/>
      <c r="F14" s="458"/>
      <c r="G14" s="458"/>
      <c r="H14" s="458"/>
      <c r="I14" s="458"/>
      <c r="J14" s="458"/>
      <c r="K14" s="459"/>
    </row>
    <row r="15" spans="1:11" ht="18.75">
      <c r="A15" s="142"/>
      <c r="B15" s="143"/>
      <c r="C15" s="143"/>
      <c r="D15" s="143"/>
      <c r="E15" s="143"/>
      <c r="F15" s="143"/>
      <c r="G15" s="143"/>
      <c r="H15" s="143"/>
      <c r="I15" s="143"/>
      <c r="J15" s="143"/>
      <c r="K15" s="144"/>
    </row>
    <row r="16" spans="1:11" ht="18.75">
      <c r="A16" s="457" t="s">
        <v>209</v>
      </c>
      <c r="B16" s="458"/>
      <c r="C16" s="458"/>
      <c r="D16" s="458"/>
      <c r="E16" s="458"/>
      <c r="F16" s="458"/>
      <c r="G16" s="458"/>
      <c r="H16" s="458"/>
      <c r="I16" s="458"/>
      <c r="J16" s="458"/>
      <c r="K16" s="459"/>
    </row>
    <row r="17" spans="1:11" ht="18.75">
      <c r="A17" s="142"/>
      <c r="B17" s="143"/>
      <c r="C17" s="143"/>
      <c r="D17" s="143"/>
      <c r="E17" s="143"/>
      <c r="F17" s="143"/>
      <c r="G17" s="143"/>
      <c r="H17" s="143"/>
      <c r="I17" s="143"/>
      <c r="J17" s="143"/>
      <c r="K17" s="144"/>
    </row>
    <row r="18" spans="1:11" ht="18.75">
      <c r="A18" s="142" t="s">
        <v>131</v>
      </c>
      <c r="B18" s="110">
        <v>45165</v>
      </c>
      <c r="C18" s="143"/>
      <c r="D18" s="143"/>
      <c r="E18" s="143"/>
      <c r="F18" s="143"/>
      <c r="G18" s="143"/>
      <c r="H18" s="143"/>
      <c r="I18" s="143"/>
      <c r="J18" s="143"/>
      <c r="K18" s="145" t="s">
        <v>89</v>
      </c>
    </row>
    <row r="19" spans="1:11" ht="18.75">
      <c r="A19" s="142"/>
      <c r="B19" s="143"/>
      <c r="C19" s="143"/>
      <c r="D19" s="143"/>
      <c r="E19" s="143"/>
      <c r="F19" s="143"/>
      <c r="G19" s="143"/>
      <c r="H19" s="143"/>
      <c r="I19" s="143"/>
      <c r="J19" s="143"/>
      <c r="K19" s="144"/>
    </row>
    <row r="20" spans="1:11" ht="18.75">
      <c r="A20" s="142" t="s">
        <v>132</v>
      </c>
      <c r="B20" s="143" t="s">
        <v>28</v>
      </c>
      <c r="C20" s="143"/>
      <c r="D20" s="143"/>
      <c r="E20" s="143"/>
      <c r="F20" s="143"/>
      <c r="G20" s="143"/>
      <c r="H20" s="143"/>
      <c r="I20" s="143"/>
      <c r="J20" s="143"/>
      <c r="K20" s="144"/>
    </row>
    <row r="21" spans="1:11" ht="18.75">
      <c r="A21" s="142"/>
      <c r="B21" s="143"/>
      <c r="C21" s="143"/>
      <c r="D21" s="143"/>
      <c r="E21" s="143"/>
      <c r="F21" s="143"/>
      <c r="G21" s="143"/>
      <c r="H21" s="143"/>
      <c r="I21" s="143"/>
      <c r="J21" s="143"/>
      <c r="K21" s="146" t="s">
        <v>69</v>
      </c>
    </row>
    <row r="22" spans="1:11">
      <c r="A22" s="147"/>
      <c r="K22" s="15"/>
    </row>
    <row r="23" spans="1:11" ht="13.5" thickBot="1">
      <c r="A23" s="148"/>
      <c r="B23" s="137"/>
      <c r="C23" s="137"/>
      <c r="D23" s="137"/>
      <c r="E23" s="137"/>
      <c r="F23" s="137"/>
      <c r="G23" s="137"/>
      <c r="H23" s="137"/>
      <c r="I23" s="137"/>
      <c r="J23" s="137"/>
      <c r="K23" s="16"/>
    </row>
  </sheetData>
  <mergeCells count="11">
    <mergeCell ref="A16:K16"/>
    <mergeCell ref="A6:K6"/>
    <mergeCell ref="A8:K8"/>
    <mergeCell ref="A10:K10"/>
    <mergeCell ref="A12:K12"/>
    <mergeCell ref="A14:K14"/>
    <mergeCell ref="A1:K1"/>
    <mergeCell ref="A2:B2"/>
    <mergeCell ref="C2:G2"/>
    <mergeCell ref="I2:K2"/>
    <mergeCell ref="A4:K4"/>
  </mergeCells>
  <pageMargins left="0.70866141732283472" right="0.51181102362204722" top="1.1417322834645669" bottom="0.74803149606299213" header="0.31496062992125984" footer="0.31496062992125984"/>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B1:S101"/>
  <sheetViews>
    <sheetView showGridLines="0" zoomScale="85" zoomScaleNormal="85" workbookViewId="0">
      <selection activeCell="B1" sqref="B1:P1"/>
    </sheetView>
  </sheetViews>
  <sheetFormatPr defaultRowHeight="12.75"/>
  <cols>
    <col min="1" max="1" width="9.140625" style="179"/>
    <col min="2" max="2" width="12.7109375" style="179" customWidth="1"/>
    <col min="3" max="3" width="7" style="179" customWidth="1"/>
    <col min="4" max="4" width="12.28515625" style="179" customWidth="1"/>
    <col min="5" max="5" width="7.28515625" style="179" customWidth="1"/>
    <col min="6" max="6" width="2.85546875" style="179" customWidth="1"/>
    <col min="7" max="7" width="8.42578125" style="179" customWidth="1"/>
    <col min="8" max="8" width="8.7109375" style="179" customWidth="1"/>
    <col min="9" max="9" width="14.42578125" style="179" customWidth="1"/>
    <col min="10" max="10" width="7.42578125" style="179" customWidth="1"/>
    <col min="11" max="11" width="14.140625" style="179" bestFit="1" customWidth="1"/>
    <col min="12" max="13" width="9.7109375" style="179" customWidth="1"/>
    <col min="14" max="14" width="10.5703125" style="179" customWidth="1"/>
    <col min="15" max="15" width="7.28515625" style="179" customWidth="1"/>
    <col min="16" max="16" width="14" style="179" customWidth="1"/>
    <col min="17" max="17" width="3.85546875" style="179" customWidth="1"/>
    <col min="18" max="18" width="37.7109375" style="179" customWidth="1"/>
    <col min="19" max="19" width="121.85546875" style="179" customWidth="1"/>
    <col min="20" max="16384" width="9.140625" style="179"/>
  </cols>
  <sheetData>
    <row r="1" spans="2:16" ht="27" thickBot="1">
      <c r="B1" s="463" t="s">
        <v>178</v>
      </c>
      <c r="C1" s="464"/>
      <c r="D1" s="464"/>
      <c r="E1" s="464"/>
      <c r="F1" s="464"/>
      <c r="G1" s="464"/>
      <c r="H1" s="464"/>
      <c r="I1" s="464"/>
      <c r="J1" s="464"/>
      <c r="K1" s="464"/>
      <c r="L1" s="464"/>
      <c r="M1" s="464"/>
      <c r="N1" s="464"/>
      <c r="O1" s="464"/>
      <c r="P1" s="465"/>
    </row>
    <row r="2" spans="2:16" ht="13.5" thickBot="1">
      <c r="B2" s="466" t="s">
        <v>179</v>
      </c>
      <c r="C2" s="467"/>
      <c r="D2" s="468" t="s">
        <v>102</v>
      </c>
      <c r="E2" s="469"/>
      <c r="F2" s="469"/>
      <c r="G2" s="469"/>
      <c r="H2" s="469"/>
      <c r="I2" s="469"/>
      <c r="J2" s="470"/>
      <c r="K2" s="200" t="s">
        <v>36</v>
      </c>
      <c r="L2" s="471" t="s">
        <v>370</v>
      </c>
      <c r="M2" s="363"/>
      <c r="N2" s="363"/>
      <c r="O2" s="363"/>
      <c r="P2" s="363"/>
    </row>
    <row r="3" spans="2:16" ht="13.5" thickBot="1">
      <c r="B3" s="466" t="s">
        <v>180</v>
      </c>
      <c r="C3" s="467"/>
      <c r="D3" s="472" t="s">
        <v>230</v>
      </c>
      <c r="E3" s="473"/>
      <c r="F3" s="473"/>
      <c r="G3" s="473"/>
      <c r="H3" s="473"/>
      <c r="I3" s="473"/>
      <c r="J3" s="474"/>
      <c r="K3" s="199" t="s">
        <v>360</v>
      </c>
      <c r="L3" s="475">
        <v>45165</v>
      </c>
      <c r="M3" s="363"/>
      <c r="N3" s="363"/>
      <c r="O3" s="363"/>
      <c r="P3" s="363"/>
    </row>
    <row r="4" spans="2:16">
      <c r="B4" s="476"/>
      <c r="C4" s="477"/>
      <c r="D4" s="477"/>
      <c r="E4" s="477"/>
      <c r="F4" s="477"/>
      <c r="G4" s="477"/>
      <c r="H4" s="477"/>
      <c r="I4" s="477"/>
      <c r="J4" s="477"/>
      <c r="K4" s="478"/>
      <c r="L4" s="477"/>
      <c r="M4" s="477"/>
      <c r="N4" s="477"/>
      <c r="O4" s="477"/>
      <c r="P4" s="479"/>
    </row>
    <row r="5" spans="2:16" ht="15">
      <c r="B5" s="480" t="s">
        <v>359</v>
      </c>
      <c r="C5" s="480"/>
      <c r="D5" s="480"/>
      <c r="E5" s="480"/>
      <c r="F5" s="480"/>
      <c r="G5" s="480"/>
      <c r="H5" s="480"/>
      <c r="I5" s="481"/>
      <c r="J5" s="481"/>
      <c r="K5" s="481"/>
      <c r="L5" s="481"/>
      <c r="M5" s="481"/>
      <c r="N5" s="481"/>
      <c r="O5" s="481"/>
      <c r="P5" s="481"/>
    </row>
    <row r="6" spans="2:16" ht="15">
      <c r="B6" s="480" t="s">
        <v>181</v>
      </c>
      <c r="C6" s="480"/>
      <c r="D6" s="480"/>
      <c r="E6" s="480"/>
      <c r="F6" s="480"/>
      <c r="G6" s="480"/>
      <c r="H6" s="480"/>
      <c r="I6" s="482" t="s">
        <v>78</v>
      </c>
      <c r="J6" s="482"/>
      <c r="K6" s="482"/>
      <c r="L6" s="482"/>
      <c r="M6" s="482"/>
      <c r="N6" s="482"/>
      <c r="O6" s="482"/>
      <c r="P6" s="482"/>
    </row>
    <row r="7" spans="2:16" ht="15">
      <c r="B7" s="480" t="s">
        <v>358</v>
      </c>
      <c r="C7" s="480"/>
      <c r="D7" s="480"/>
      <c r="E7" s="480"/>
      <c r="F7" s="480"/>
      <c r="G7" s="480"/>
      <c r="H7" s="480"/>
      <c r="I7" s="481"/>
      <c r="J7" s="481"/>
      <c r="K7" s="481"/>
      <c r="L7" s="481"/>
      <c r="M7" s="481"/>
      <c r="N7" s="481"/>
      <c r="O7" s="481"/>
      <c r="P7" s="481"/>
    </row>
    <row r="8" spans="2:16" ht="15">
      <c r="B8" s="483" t="s">
        <v>182</v>
      </c>
      <c r="C8" s="483"/>
      <c r="D8" s="483"/>
      <c r="E8" s="483"/>
      <c r="F8" s="483"/>
      <c r="G8" s="483"/>
      <c r="H8" s="483"/>
      <c r="I8" s="481" t="s">
        <v>227</v>
      </c>
      <c r="J8" s="481"/>
      <c r="K8" s="481"/>
      <c r="L8" s="481"/>
      <c r="M8" s="481"/>
      <c r="N8" s="481"/>
      <c r="O8" s="481"/>
      <c r="P8" s="481"/>
    </row>
    <row r="9" spans="2:16" ht="15">
      <c r="B9" s="483" t="s">
        <v>183</v>
      </c>
      <c r="C9" s="483"/>
      <c r="D9" s="483"/>
      <c r="E9" s="483"/>
      <c r="F9" s="483"/>
      <c r="G9" s="483"/>
      <c r="H9" s="483"/>
      <c r="I9" s="481" t="s">
        <v>79</v>
      </c>
      <c r="J9" s="481"/>
      <c r="K9" s="481"/>
      <c r="L9" s="481"/>
      <c r="M9" s="481"/>
      <c r="N9" s="481"/>
      <c r="O9" s="481"/>
      <c r="P9" s="481"/>
    </row>
    <row r="10" spans="2:16" ht="15">
      <c r="B10" s="484" t="s">
        <v>357</v>
      </c>
      <c r="C10" s="484"/>
      <c r="D10" s="484"/>
      <c r="E10" s="484"/>
      <c r="F10" s="484"/>
      <c r="G10" s="484"/>
      <c r="H10" s="484"/>
      <c r="I10" s="484"/>
      <c r="J10" s="484"/>
      <c r="K10" s="484"/>
      <c r="L10" s="484"/>
      <c r="M10" s="484"/>
      <c r="N10" s="484"/>
      <c r="O10" s="484"/>
      <c r="P10" s="484"/>
    </row>
    <row r="11" spans="2:16" ht="31.5" customHeight="1">
      <c r="B11" s="485" t="s">
        <v>356</v>
      </c>
      <c r="C11" s="485"/>
      <c r="D11" s="485"/>
      <c r="E11" s="485"/>
      <c r="F11" s="485"/>
      <c r="G11" s="485"/>
      <c r="H11" s="485"/>
      <c r="I11" s="481"/>
      <c r="J11" s="481"/>
      <c r="K11" s="481"/>
      <c r="L11" s="481"/>
      <c r="M11" s="481"/>
      <c r="N11" s="481"/>
      <c r="O11" s="481"/>
      <c r="P11" s="481"/>
    </row>
    <row r="12" spans="2:16" ht="36.75" customHeight="1">
      <c r="B12" s="486" t="s">
        <v>355</v>
      </c>
      <c r="C12" s="487"/>
      <c r="D12" s="487"/>
      <c r="E12" s="487"/>
      <c r="F12" s="487"/>
      <c r="G12" s="487"/>
      <c r="H12" s="488"/>
      <c r="I12" s="481" t="s">
        <v>365</v>
      </c>
      <c r="J12" s="481"/>
      <c r="K12" s="481"/>
      <c r="L12" s="481"/>
      <c r="M12" s="481"/>
      <c r="N12" s="481"/>
      <c r="O12" s="481"/>
      <c r="P12" s="481"/>
    </row>
    <row r="13" spans="2:16" ht="48" customHeight="1">
      <c r="B13" s="486" t="s">
        <v>354</v>
      </c>
      <c r="C13" s="487"/>
      <c r="D13" s="487"/>
      <c r="E13" s="487"/>
      <c r="F13" s="487"/>
      <c r="G13" s="487"/>
      <c r="H13" s="489"/>
      <c r="I13" s="490"/>
      <c r="J13" s="491"/>
      <c r="K13" s="491"/>
      <c r="L13" s="491"/>
      <c r="M13" s="491"/>
      <c r="N13" s="491"/>
      <c r="O13" s="491"/>
      <c r="P13" s="492"/>
    </row>
    <row r="14" spans="2:16" ht="30" customHeight="1">
      <c r="B14" s="493" t="s">
        <v>185</v>
      </c>
      <c r="C14" s="494"/>
      <c r="D14" s="495"/>
      <c r="E14" s="495"/>
      <c r="F14" s="495"/>
      <c r="G14" s="495"/>
      <c r="H14" s="496"/>
      <c r="I14" s="497"/>
      <c r="J14" s="481"/>
      <c r="K14" s="481"/>
      <c r="L14" s="481"/>
      <c r="M14" s="481"/>
      <c r="N14" s="481"/>
      <c r="O14" s="481"/>
      <c r="P14" s="481"/>
    </row>
    <row r="15" spans="2:16" ht="50.25" customHeight="1">
      <c r="B15" s="486" t="s">
        <v>353</v>
      </c>
      <c r="C15" s="487"/>
      <c r="D15" s="487"/>
      <c r="E15" s="487"/>
      <c r="F15" s="487"/>
      <c r="G15" s="487"/>
      <c r="H15" s="489"/>
      <c r="I15" s="490"/>
      <c r="J15" s="491"/>
      <c r="K15" s="491"/>
      <c r="L15" s="491"/>
      <c r="M15" s="491"/>
      <c r="N15" s="491"/>
      <c r="O15" s="491"/>
      <c r="P15" s="492"/>
    </row>
    <row r="16" spans="2:16" ht="14.25">
      <c r="B16" s="498" t="s">
        <v>186</v>
      </c>
      <c r="C16" s="498"/>
      <c r="D16" s="498"/>
      <c r="E16" s="498"/>
      <c r="F16" s="498"/>
      <c r="G16" s="498"/>
      <c r="H16" s="499"/>
      <c r="I16" s="500">
        <v>6100058</v>
      </c>
      <c r="J16" s="501"/>
      <c r="K16" s="501"/>
      <c r="L16" s="501"/>
      <c r="M16" s="501"/>
      <c r="N16" s="501"/>
      <c r="O16" s="501"/>
      <c r="P16" s="501"/>
    </row>
    <row r="17" spans="2:16" ht="14.25">
      <c r="B17" s="498" t="s">
        <v>187</v>
      </c>
      <c r="C17" s="498"/>
      <c r="D17" s="498"/>
      <c r="E17" s="498"/>
      <c r="F17" s="498"/>
      <c r="G17" s="498"/>
      <c r="H17" s="499"/>
      <c r="I17" s="500" t="s">
        <v>361</v>
      </c>
      <c r="J17" s="501"/>
      <c r="K17" s="501"/>
      <c r="L17" s="501"/>
      <c r="M17" s="501"/>
      <c r="N17" s="501"/>
      <c r="O17" s="501"/>
      <c r="P17" s="501"/>
    </row>
    <row r="18" spans="2:16" ht="15" thickBot="1">
      <c r="B18" s="502" t="s">
        <v>352</v>
      </c>
      <c r="C18" s="502"/>
      <c r="D18" s="502"/>
      <c r="E18" s="502"/>
      <c r="F18" s="502"/>
      <c r="G18" s="502"/>
      <c r="H18" s="503"/>
      <c r="I18" s="500"/>
      <c r="J18" s="501"/>
      <c r="K18" s="501"/>
      <c r="L18" s="501"/>
      <c r="M18" s="501"/>
      <c r="N18" s="501"/>
      <c r="O18" s="501"/>
      <c r="P18" s="501"/>
    </row>
    <row r="19" spans="2:16" ht="15.75" thickBot="1">
      <c r="B19" s="504" t="s">
        <v>188</v>
      </c>
      <c r="C19" s="505"/>
      <c r="D19" s="505"/>
      <c r="E19" s="506"/>
      <c r="F19" s="198" t="s">
        <v>184</v>
      </c>
      <c r="G19" s="507" t="s">
        <v>390</v>
      </c>
      <c r="H19" s="508"/>
      <c r="I19" s="508"/>
      <c r="J19" s="508"/>
      <c r="K19" s="508"/>
      <c r="L19" s="508"/>
      <c r="M19" s="508"/>
      <c r="N19" s="508"/>
      <c r="O19" s="508"/>
      <c r="P19" s="509"/>
    </row>
    <row r="20" spans="2:16" ht="15.75" thickBot="1">
      <c r="B20" s="504" t="s">
        <v>189</v>
      </c>
      <c r="C20" s="505"/>
      <c r="D20" s="505"/>
      <c r="E20" s="506"/>
      <c r="F20" s="194" t="s">
        <v>184</v>
      </c>
      <c r="G20" s="507"/>
      <c r="H20" s="508"/>
      <c r="I20" s="508"/>
      <c r="J20" s="508"/>
      <c r="K20" s="508"/>
      <c r="L20" s="508"/>
      <c r="M20" s="508"/>
      <c r="N20" s="508"/>
      <c r="O20" s="508"/>
      <c r="P20" s="509"/>
    </row>
    <row r="21" spans="2:16" ht="15.75" thickBot="1">
      <c r="B21" s="504" t="s">
        <v>190</v>
      </c>
      <c r="C21" s="505"/>
      <c r="D21" s="505"/>
      <c r="E21" s="506"/>
      <c r="F21" s="194" t="s">
        <v>184</v>
      </c>
      <c r="G21" s="507"/>
      <c r="H21" s="508"/>
      <c r="I21" s="508"/>
      <c r="J21" s="508"/>
      <c r="K21" s="508"/>
      <c r="L21" s="508"/>
      <c r="M21" s="508"/>
      <c r="N21" s="508"/>
      <c r="O21" s="508"/>
      <c r="P21" s="509"/>
    </row>
    <row r="22" spans="2:16" ht="15.75" thickBot="1">
      <c r="B22" s="504" t="s">
        <v>191</v>
      </c>
      <c r="C22" s="505"/>
      <c r="D22" s="505"/>
      <c r="E22" s="506"/>
      <c r="F22" s="194" t="s">
        <v>184</v>
      </c>
      <c r="G22" s="510"/>
      <c r="H22" s="511"/>
      <c r="I22" s="511"/>
      <c r="J22" s="511"/>
      <c r="K22" s="511"/>
      <c r="L22" s="511"/>
      <c r="M22" s="511"/>
      <c r="N22" s="511"/>
      <c r="O22" s="511"/>
      <c r="P22" s="512"/>
    </row>
    <row r="23" spans="2:16" ht="15.75" thickBot="1">
      <c r="B23" s="504" t="s">
        <v>192</v>
      </c>
      <c r="C23" s="505"/>
      <c r="D23" s="505"/>
      <c r="E23" s="506"/>
      <c r="F23" s="194" t="s">
        <v>184</v>
      </c>
      <c r="G23" s="197"/>
      <c r="H23" s="196"/>
      <c r="I23" s="196"/>
      <c r="J23" s="196"/>
      <c r="K23" s="196"/>
      <c r="L23" s="196"/>
      <c r="M23" s="196"/>
      <c r="N23" s="196"/>
      <c r="O23" s="196"/>
      <c r="P23" s="195"/>
    </row>
    <row r="24" spans="2:16" ht="15.75" thickBot="1">
      <c r="B24" s="504" t="s">
        <v>193</v>
      </c>
      <c r="C24" s="505"/>
      <c r="D24" s="505"/>
      <c r="E24" s="506"/>
      <c r="F24" s="194" t="s">
        <v>184</v>
      </c>
      <c r="G24" s="513">
        <v>1</v>
      </c>
      <c r="H24" s="514"/>
      <c r="I24" s="514"/>
      <c r="J24" s="514"/>
      <c r="K24" s="514"/>
      <c r="L24" s="514"/>
      <c r="M24" s="514"/>
      <c r="N24" s="514"/>
      <c r="O24" s="514"/>
      <c r="P24" s="515"/>
    </row>
    <row r="25" spans="2:16" ht="15.75" thickBot="1">
      <c r="B25" s="504" t="s">
        <v>351</v>
      </c>
      <c r="C25" s="505"/>
      <c r="D25" s="505"/>
      <c r="E25" s="506"/>
      <c r="F25" s="194" t="s">
        <v>184</v>
      </c>
      <c r="G25" s="510"/>
      <c r="H25" s="534"/>
      <c r="I25" s="534"/>
      <c r="J25" s="534"/>
      <c r="K25" s="534"/>
      <c r="L25" s="534"/>
      <c r="M25" s="534"/>
      <c r="N25" s="534"/>
      <c r="O25" s="534"/>
      <c r="P25" s="535"/>
    </row>
    <row r="26" spans="2:16" ht="15.75" thickBot="1">
      <c r="B26" s="504" t="s">
        <v>350</v>
      </c>
      <c r="C26" s="505"/>
      <c r="D26" s="505"/>
      <c r="E26" s="506"/>
      <c r="F26" s="194" t="s">
        <v>184</v>
      </c>
      <c r="G26" s="510"/>
      <c r="H26" s="511"/>
      <c r="I26" s="511"/>
      <c r="J26" s="511"/>
      <c r="K26" s="511"/>
      <c r="L26" s="511"/>
      <c r="M26" s="511"/>
      <c r="N26" s="511"/>
      <c r="O26" s="511"/>
      <c r="P26" s="512"/>
    </row>
    <row r="27" spans="2:16" ht="13.5" thickBot="1">
      <c r="B27" s="516" t="s">
        <v>194</v>
      </c>
      <c r="C27" s="517"/>
      <c r="D27" s="517"/>
      <c r="E27" s="517"/>
      <c r="F27" s="517"/>
      <c r="G27" s="517"/>
      <c r="H27" s="517"/>
      <c r="I27" s="517"/>
      <c r="J27" s="517"/>
      <c r="K27" s="517"/>
      <c r="L27" s="517"/>
      <c r="M27" s="517"/>
      <c r="N27" s="517"/>
      <c r="O27" s="517"/>
      <c r="P27" s="518"/>
    </row>
    <row r="28" spans="2:16" ht="12.75" customHeight="1">
      <c r="B28" s="519" t="s">
        <v>362</v>
      </c>
      <c r="C28" s="520"/>
      <c r="D28" s="520"/>
      <c r="E28" s="520"/>
      <c r="F28" s="520"/>
      <c r="G28" s="520"/>
      <c r="H28" s="520"/>
      <c r="I28" s="520"/>
      <c r="J28" s="520"/>
      <c r="K28" s="520"/>
      <c r="L28" s="520"/>
      <c r="M28" s="520"/>
      <c r="N28" s="520"/>
      <c r="O28" s="520"/>
      <c r="P28" s="521"/>
    </row>
    <row r="29" spans="2:16" ht="12.75" customHeight="1">
      <c r="B29" s="522"/>
      <c r="C29" s="523"/>
      <c r="D29" s="523"/>
      <c r="E29" s="523"/>
      <c r="F29" s="523"/>
      <c r="G29" s="523"/>
      <c r="H29" s="523"/>
      <c r="I29" s="523"/>
      <c r="J29" s="523"/>
      <c r="K29" s="523"/>
      <c r="L29" s="523"/>
      <c r="M29" s="523"/>
      <c r="N29" s="523"/>
      <c r="O29" s="523"/>
      <c r="P29" s="524"/>
    </row>
    <row r="30" spans="2:16" ht="12.75" customHeight="1">
      <c r="B30" s="522"/>
      <c r="C30" s="523"/>
      <c r="D30" s="523"/>
      <c r="E30" s="523"/>
      <c r="F30" s="523"/>
      <c r="G30" s="523"/>
      <c r="H30" s="523"/>
      <c r="I30" s="523"/>
      <c r="J30" s="523"/>
      <c r="K30" s="523"/>
      <c r="L30" s="523"/>
      <c r="M30" s="523"/>
      <c r="N30" s="523"/>
      <c r="O30" s="523"/>
      <c r="P30" s="524"/>
    </row>
    <row r="31" spans="2:16" ht="13.5" customHeight="1" thickBot="1">
      <c r="B31" s="525"/>
      <c r="C31" s="526"/>
      <c r="D31" s="526"/>
      <c r="E31" s="526"/>
      <c r="F31" s="526"/>
      <c r="G31" s="526"/>
      <c r="H31" s="526"/>
      <c r="I31" s="526"/>
      <c r="J31" s="526"/>
      <c r="K31" s="526"/>
      <c r="L31" s="526"/>
      <c r="M31" s="526"/>
      <c r="N31" s="526"/>
      <c r="O31" s="526"/>
      <c r="P31" s="527"/>
    </row>
    <row r="32" spans="2:16">
      <c r="B32" s="528" t="s">
        <v>349</v>
      </c>
      <c r="C32" s="529"/>
      <c r="D32" s="529"/>
      <c r="E32" s="529"/>
      <c r="F32" s="529"/>
      <c r="G32" s="530"/>
      <c r="H32" s="531" t="s">
        <v>195</v>
      </c>
      <c r="I32" s="532"/>
      <c r="J32" s="532"/>
      <c r="K32" s="532"/>
      <c r="L32" s="532"/>
      <c r="M32" s="532"/>
      <c r="N32" s="532"/>
      <c r="O32" s="532"/>
      <c r="P32" s="533"/>
    </row>
    <row r="33" spans="2:16" ht="20.100000000000001" customHeight="1">
      <c r="B33" s="536" t="s">
        <v>348</v>
      </c>
      <c r="C33" s="536"/>
      <c r="D33" s="536"/>
      <c r="E33" s="536"/>
      <c r="F33" s="536"/>
      <c r="G33" s="193"/>
      <c r="H33" s="537" t="s">
        <v>196</v>
      </c>
      <c r="I33" s="538"/>
      <c r="J33" s="538"/>
      <c r="K33" s="538"/>
      <c r="L33" s="538"/>
      <c r="M33" s="538"/>
      <c r="N33" s="538"/>
      <c r="O33" s="538"/>
      <c r="P33" s="539"/>
    </row>
    <row r="34" spans="2:16" ht="20.100000000000001" customHeight="1">
      <c r="B34" s="536" t="s">
        <v>347</v>
      </c>
      <c r="C34" s="536"/>
      <c r="D34" s="536"/>
      <c r="E34" s="536"/>
      <c r="F34" s="536"/>
      <c r="G34" s="193"/>
      <c r="H34" s="540"/>
      <c r="I34" s="541"/>
      <c r="J34" s="541"/>
      <c r="K34" s="541"/>
      <c r="L34" s="541"/>
      <c r="M34" s="541"/>
      <c r="N34" s="541"/>
      <c r="O34" s="541"/>
      <c r="P34" s="542"/>
    </row>
    <row r="35" spans="2:16" ht="20.100000000000001" customHeight="1">
      <c r="B35" s="536" t="s">
        <v>346</v>
      </c>
      <c r="C35" s="536"/>
      <c r="D35" s="536"/>
      <c r="E35" s="536"/>
      <c r="F35" s="536"/>
      <c r="G35" s="193"/>
      <c r="H35" s="540" t="s">
        <v>345</v>
      </c>
      <c r="I35" s="541"/>
      <c r="J35" s="541"/>
      <c r="K35" s="541"/>
      <c r="L35" s="541"/>
      <c r="M35" s="541"/>
      <c r="N35" s="541"/>
      <c r="O35" s="541"/>
      <c r="P35" s="542"/>
    </row>
    <row r="36" spans="2:16" ht="20.100000000000001" customHeight="1">
      <c r="B36" s="536" t="s">
        <v>344</v>
      </c>
      <c r="C36" s="536"/>
      <c r="D36" s="536"/>
      <c r="E36" s="536"/>
      <c r="F36" s="536"/>
      <c r="G36" s="193"/>
      <c r="H36" s="537" t="s">
        <v>343</v>
      </c>
      <c r="I36" s="538"/>
      <c r="J36" s="538"/>
      <c r="K36" s="538"/>
      <c r="L36" s="538"/>
      <c r="M36" s="538"/>
      <c r="N36" s="538"/>
      <c r="O36" s="538"/>
      <c r="P36" s="539"/>
    </row>
    <row r="37" spans="2:16" ht="20.100000000000001" customHeight="1">
      <c r="B37" s="536" t="s">
        <v>342</v>
      </c>
      <c r="C37" s="536"/>
      <c r="D37" s="536"/>
      <c r="E37" s="536"/>
      <c r="F37" s="536"/>
      <c r="G37" s="193"/>
      <c r="H37" s="537" t="s">
        <v>341</v>
      </c>
      <c r="I37" s="538"/>
      <c r="J37" s="538"/>
      <c r="K37" s="538"/>
      <c r="L37" s="538"/>
      <c r="M37" s="538"/>
      <c r="N37" s="538"/>
      <c r="O37" s="538"/>
      <c r="P37" s="539"/>
    </row>
    <row r="38" spans="2:16" ht="20.100000000000001" customHeight="1">
      <c r="B38" s="536" t="s">
        <v>340</v>
      </c>
      <c r="C38" s="536"/>
      <c r="D38" s="536"/>
      <c r="E38" s="536"/>
      <c r="F38" s="536"/>
      <c r="G38" s="193"/>
      <c r="H38" s="537" t="s">
        <v>339</v>
      </c>
      <c r="I38" s="538"/>
      <c r="J38" s="538"/>
      <c r="K38" s="538"/>
      <c r="L38" s="538"/>
      <c r="M38" s="538"/>
      <c r="N38" s="538"/>
      <c r="O38" s="538"/>
      <c r="P38" s="539"/>
    </row>
    <row r="39" spans="2:16" ht="20.100000000000001" customHeight="1">
      <c r="B39" s="536" t="s">
        <v>338</v>
      </c>
      <c r="C39" s="536"/>
      <c r="D39" s="536"/>
      <c r="E39" s="536"/>
      <c r="F39" s="536"/>
      <c r="G39" s="193"/>
      <c r="H39" s="537" t="s">
        <v>337</v>
      </c>
      <c r="I39" s="538"/>
      <c r="J39" s="538"/>
      <c r="K39" s="538"/>
      <c r="L39" s="538"/>
      <c r="M39" s="538"/>
      <c r="N39" s="538"/>
      <c r="O39" s="538"/>
      <c r="P39" s="539"/>
    </row>
    <row r="40" spans="2:16" ht="32.25" customHeight="1">
      <c r="B40" s="536" t="s">
        <v>336</v>
      </c>
      <c r="C40" s="536"/>
      <c r="D40" s="536"/>
      <c r="E40" s="536"/>
      <c r="F40" s="536"/>
      <c r="G40" s="193"/>
      <c r="H40" s="560" t="s">
        <v>335</v>
      </c>
      <c r="I40" s="561"/>
      <c r="J40" s="561"/>
      <c r="K40" s="561"/>
      <c r="L40" s="561"/>
      <c r="M40" s="561"/>
      <c r="N40" s="561"/>
      <c r="O40" s="561"/>
      <c r="P40" s="562"/>
    </row>
    <row r="41" spans="2:16" ht="13.5" thickBot="1">
      <c r="B41" s="563" t="s">
        <v>334</v>
      </c>
      <c r="C41" s="564"/>
      <c r="D41" s="564"/>
      <c r="E41" s="564"/>
      <c r="F41" s="564"/>
      <c r="G41" s="564"/>
      <c r="H41" s="564"/>
      <c r="I41" s="564"/>
      <c r="J41" s="564"/>
      <c r="K41" s="564"/>
      <c r="L41" s="564"/>
      <c r="M41" s="564"/>
      <c r="N41" s="564"/>
      <c r="O41" s="564"/>
      <c r="P41" s="565"/>
    </row>
    <row r="42" spans="2:16" ht="13.5" thickBot="1">
      <c r="B42" s="192" t="s">
        <v>333</v>
      </c>
      <c r="C42" s="138"/>
      <c r="D42" s="138"/>
      <c r="E42" s="139"/>
      <c r="F42" s="138"/>
      <c r="G42" s="158" t="s">
        <v>332</v>
      </c>
      <c r="H42" s="157"/>
      <c r="I42" s="157"/>
      <c r="J42" s="139"/>
      <c r="K42" s="158"/>
      <c r="L42" s="543" t="s">
        <v>331</v>
      </c>
      <c r="M42" s="543"/>
      <c r="N42" s="544"/>
      <c r="O42" s="139"/>
      <c r="P42" s="191"/>
    </row>
    <row r="43" spans="2:16" ht="13.5" thickBot="1">
      <c r="B43" s="190" t="s">
        <v>330</v>
      </c>
      <c r="C43" s="157"/>
      <c r="D43" s="157"/>
      <c r="E43" s="139"/>
      <c r="F43" s="157"/>
      <c r="G43" s="158" t="s">
        <v>329</v>
      </c>
      <c r="H43" s="157"/>
      <c r="I43" s="157"/>
      <c r="J43" s="139"/>
      <c r="K43" s="158"/>
      <c r="L43" s="543" t="s">
        <v>328</v>
      </c>
      <c r="M43" s="543"/>
      <c r="N43" s="544"/>
      <c r="O43" s="139"/>
      <c r="P43" s="189"/>
    </row>
    <row r="44" spans="2:16" ht="13.5" thickBot="1">
      <c r="B44" s="190" t="s">
        <v>327</v>
      </c>
      <c r="E44" s="139"/>
      <c r="F44" s="157"/>
      <c r="G44" s="158" t="s">
        <v>326</v>
      </c>
      <c r="H44" s="158"/>
      <c r="I44" s="158"/>
      <c r="J44" s="139"/>
      <c r="K44" s="159"/>
      <c r="O44" s="139"/>
      <c r="P44" s="189"/>
    </row>
    <row r="45" spans="2:16" ht="12.75" customHeight="1">
      <c r="B45" s="545" t="s">
        <v>325</v>
      </c>
      <c r="C45" s="546"/>
      <c r="D45" s="546"/>
      <c r="E45" s="546"/>
      <c r="F45" s="546"/>
      <c r="G45" s="546"/>
      <c r="H45" s="546"/>
      <c r="I45" s="546"/>
      <c r="J45" s="546"/>
      <c r="K45" s="546"/>
      <c r="L45" s="546"/>
      <c r="M45" s="546"/>
      <c r="N45" s="546"/>
      <c r="O45" s="546"/>
      <c r="P45" s="547"/>
    </row>
    <row r="46" spans="2:16" ht="28.5" customHeight="1">
      <c r="B46" s="548"/>
      <c r="C46" s="549"/>
      <c r="D46" s="549"/>
      <c r="E46" s="549"/>
      <c r="F46" s="549"/>
      <c r="G46" s="549"/>
      <c r="H46" s="549"/>
      <c r="I46" s="549"/>
      <c r="J46" s="549"/>
      <c r="K46" s="549"/>
      <c r="L46" s="549"/>
      <c r="M46" s="549"/>
      <c r="N46" s="549"/>
      <c r="O46" s="549"/>
      <c r="P46" s="550"/>
    </row>
    <row r="47" spans="2:16">
      <c r="B47" s="187" t="s">
        <v>197</v>
      </c>
      <c r="C47" s="160"/>
      <c r="D47" s="160"/>
      <c r="E47" s="160"/>
      <c r="F47" s="160"/>
      <c r="G47" s="160"/>
      <c r="H47" s="160"/>
      <c r="I47" s="160"/>
      <c r="J47" s="160"/>
      <c r="K47" s="160"/>
      <c r="L47" s="161"/>
      <c r="M47" s="161"/>
      <c r="N47" s="161"/>
      <c r="O47" s="161"/>
      <c r="P47" s="188"/>
    </row>
    <row r="48" spans="2:16">
      <c r="B48" s="187" t="s">
        <v>198</v>
      </c>
      <c r="C48" s="160"/>
      <c r="D48" s="160"/>
      <c r="E48" s="160"/>
      <c r="F48" s="160"/>
      <c r="G48" s="160"/>
      <c r="H48" s="160"/>
      <c r="I48" s="160"/>
      <c r="J48" s="160"/>
      <c r="K48" s="160"/>
      <c r="L48" s="161"/>
      <c r="M48" s="161"/>
      <c r="N48" s="161"/>
      <c r="O48" s="161"/>
      <c r="P48" s="188"/>
    </row>
    <row r="49" spans="2:19">
      <c r="B49" s="187" t="s">
        <v>199</v>
      </c>
      <c r="C49" s="160"/>
      <c r="D49" s="160"/>
      <c r="E49" s="160"/>
      <c r="F49" s="160"/>
      <c r="G49" s="160"/>
      <c r="H49" s="160"/>
      <c r="I49" s="160"/>
      <c r="J49" s="160"/>
      <c r="K49" s="160"/>
      <c r="L49" s="551"/>
      <c r="M49" s="552"/>
      <c r="N49" s="552"/>
      <c r="O49" s="552"/>
      <c r="P49" s="553"/>
    </row>
    <row r="50" spans="2:19">
      <c r="B50" s="187" t="s">
        <v>200</v>
      </c>
      <c r="C50" s="160"/>
      <c r="D50" s="160"/>
      <c r="E50" s="160"/>
      <c r="F50" s="160"/>
      <c r="G50" s="160"/>
      <c r="H50" s="160"/>
      <c r="I50" s="160"/>
      <c r="J50" s="160"/>
      <c r="K50" s="160"/>
      <c r="L50" s="554"/>
      <c r="M50" s="555"/>
      <c r="N50" s="555"/>
      <c r="O50" s="555"/>
      <c r="P50" s="556"/>
    </row>
    <row r="51" spans="2:19" ht="15.75">
      <c r="B51" s="186" t="s">
        <v>324</v>
      </c>
      <c r="C51" s="185"/>
      <c r="D51" s="185"/>
      <c r="E51" s="185"/>
      <c r="F51" s="185"/>
      <c r="G51" s="185"/>
      <c r="H51" s="185"/>
      <c r="I51" s="185"/>
      <c r="J51" s="185"/>
      <c r="K51" s="185"/>
      <c r="L51" s="557" t="s">
        <v>201</v>
      </c>
      <c r="M51" s="558"/>
      <c r="N51" s="558"/>
      <c r="O51" s="558"/>
      <c r="P51" s="559"/>
    </row>
    <row r="54" spans="2:19" ht="18.75">
      <c r="R54" s="184" t="s">
        <v>323</v>
      </c>
      <c r="S54" s="183" t="s">
        <v>322</v>
      </c>
    </row>
    <row r="55" spans="2:19" ht="15">
      <c r="R55" s="182" t="s">
        <v>321</v>
      </c>
      <c r="S55" s="182" t="s">
        <v>320</v>
      </c>
    </row>
    <row r="56" spans="2:19" ht="15">
      <c r="R56" s="181" t="s">
        <v>319</v>
      </c>
      <c r="S56" s="180" t="s">
        <v>318</v>
      </c>
    </row>
    <row r="57" spans="2:19" ht="15">
      <c r="R57" s="181" t="s">
        <v>317</v>
      </c>
      <c r="S57" s="180" t="s">
        <v>316</v>
      </c>
    </row>
    <row r="58" spans="2:19" ht="15">
      <c r="R58" s="181" t="s">
        <v>315</v>
      </c>
      <c r="S58" s="180" t="s">
        <v>314</v>
      </c>
    </row>
    <row r="59" spans="2:19" ht="15">
      <c r="R59" s="181" t="s">
        <v>313</v>
      </c>
      <c r="S59" s="180" t="s">
        <v>312</v>
      </c>
    </row>
    <row r="60" spans="2:19" ht="15">
      <c r="R60" s="181" t="s">
        <v>311</v>
      </c>
      <c r="S60" s="180" t="s">
        <v>310</v>
      </c>
    </row>
    <row r="61" spans="2:19" ht="15">
      <c r="R61" s="181" t="s">
        <v>309</v>
      </c>
      <c r="S61" s="180" t="s">
        <v>308</v>
      </c>
    </row>
    <row r="62" spans="2:19" ht="15">
      <c r="R62" s="181" t="s">
        <v>307</v>
      </c>
      <c r="S62" s="180" t="s">
        <v>306</v>
      </c>
    </row>
    <row r="63" spans="2:19" ht="15">
      <c r="R63" s="181" t="s">
        <v>305</v>
      </c>
      <c r="S63" s="180" t="s">
        <v>304</v>
      </c>
    </row>
    <row r="64" spans="2:19" ht="15">
      <c r="R64" s="181"/>
      <c r="S64" s="180"/>
    </row>
    <row r="65" spans="18:19" ht="15">
      <c r="R65" s="181" t="s">
        <v>303</v>
      </c>
      <c r="S65" s="180" t="s">
        <v>302</v>
      </c>
    </row>
    <row r="66" spans="18:19" ht="15">
      <c r="R66" s="181" t="s">
        <v>301</v>
      </c>
      <c r="S66" s="180" t="s">
        <v>300</v>
      </c>
    </row>
    <row r="67" spans="18:19" ht="15">
      <c r="R67" s="181" t="s">
        <v>299</v>
      </c>
      <c r="S67" s="180" t="s">
        <v>245</v>
      </c>
    </row>
    <row r="68" spans="18:19" ht="15">
      <c r="R68" s="181" t="s">
        <v>298</v>
      </c>
      <c r="S68" s="180" t="s">
        <v>297</v>
      </c>
    </row>
    <row r="69" spans="18:19" ht="15">
      <c r="R69" s="181" t="s">
        <v>296</v>
      </c>
      <c r="S69" s="180" t="s">
        <v>295</v>
      </c>
    </row>
    <row r="70" spans="18:19" ht="15">
      <c r="R70" s="181" t="s">
        <v>293</v>
      </c>
      <c r="S70" s="180" t="s">
        <v>294</v>
      </c>
    </row>
    <row r="71" spans="18:19" ht="15">
      <c r="R71" s="181" t="s">
        <v>293</v>
      </c>
      <c r="S71" s="180" t="s">
        <v>268</v>
      </c>
    </row>
    <row r="72" spans="18:19" ht="15">
      <c r="R72" s="181" t="s">
        <v>292</v>
      </c>
      <c r="S72" s="180" t="s">
        <v>291</v>
      </c>
    </row>
    <row r="73" spans="18:19" ht="15">
      <c r="R73" s="181" t="s">
        <v>290</v>
      </c>
      <c r="S73" s="180" t="s">
        <v>289</v>
      </c>
    </row>
    <row r="74" spans="18:19" ht="15">
      <c r="R74" s="181" t="s">
        <v>288</v>
      </c>
      <c r="S74" s="180" t="s">
        <v>287</v>
      </c>
    </row>
    <row r="75" spans="18:19" ht="15">
      <c r="R75" s="181" t="s">
        <v>286</v>
      </c>
      <c r="S75" s="180" t="s">
        <v>285</v>
      </c>
    </row>
    <row r="76" spans="18:19" ht="15">
      <c r="R76" s="181" t="s">
        <v>284</v>
      </c>
      <c r="S76" s="180" t="s">
        <v>283</v>
      </c>
    </row>
    <row r="77" spans="18:19" ht="15">
      <c r="R77" s="181" t="s">
        <v>282</v>
      </c>
      <c r="S77" s="180" t="s">
        <v>281</v>
      </c>
    </row>
    <row r="78" spans="18:19" ht="15">
      <c r="R78" s="181" t="s">
        <v>280</v>
      </c>
      <c r="S78" s="180" t="s">
        <v>279</v>
      </c>
    </row>
    <row r="79" spans="18:19" ht="15">
      <c r="R79" s="181" t="s">
        <v>278</v>
      </c>
      <c r="S79" s="180" t="s">
        <v>277</v>
      </c>
    </row>
    <row r="80" spans="18:19" ht="15">
      <c r="R80" s="181" t="s">
        <v>276</v>
      </c>
      <c r="S80" s="180" t="s">
        <v>237</v>
      </c>
    </row>
    <row r="81" spans="18:19" ht="15">
      <c r="R81" s="181" t="s">
        <v>275</v>
      </c>
      <c r="S81" s="180" t="s">
        <v>274</v>
      </c>
    </row>
    <row r="82" spans="18:19" ht="15">
      <c r="R82" s="181" t="s">
        <v>273</v>
      </c>
      <c r="S82" s="180" t="s">
        <v>272</v>
      </c>
    </row>
    <row r="83" spans="18:19" ht="15">
      <c r="R83" s="181" t="s">
        <v>271</v>
      </c>
      <c r="S83" s="180" t="s">
        <v>270</v>
      </c>
    </row>
    <row r="84" spans="18:19" ht="15">
      <c r="R84" s="181" t="s">
        <v>269</v>
      </c>
      <c r="S84" s="180" t="s">
        <v>268</v>
      </c>
    </row>
    <row r="85" spans="18:19" ht="15">
      <c r="R85" s="181" t="s">
        <v>267</v>
      </c>
      <c r="S85" s="180" t="s">
        <v>266</v>
      </c>
    </row>
    <row r="86" spans="18:19" ht="15">
      <c r="R86" s="181" t="s">
        <v>265</v>
      </c>
      <c r="S86" s="180" t="s">
        <v>264</v>
      </c>
    </row>
    <row r="87" spans="18:19" ht="15">
      <c r="R87" s="181" t="s">
        <v>263</v>
      </c>
      <c r="S87" s="180" t="s">
        <v>262</v>
      </c>
    </row>
    <row r="88" spans="18:19" ht="15">
      <c r="R88" s="181" t="s">
        <v>261</v>
      </c>
      <c r="S88" s="180" t="s">
        <v>260</v>
      </c>
    </row>
    <row r="89" spans="18:19" ht="15">
      <c r="R89" s="181" t="s">
        <v>259</v>
      </c>
      <c r="S89" s="180" t="s">
        <v>258</v>
      </c>
    </row>
    <row r="90" spans="18:19" ht="15">
      <c r="R90" s="181" t="s">
        <v>257</v>
      </c>
      <c r="S90" s="180" t="s">
        <v>256</v>
      </c>
    </row>
    <row r="91" spans="18:19" ht="15">
      <c r="R91" s="181" t="s">
        <v>255</v>
      </c>
      <c r="S91" s="180" t="s">
        <v>254</v>
      </c>
    </row>
    <row r="92" spans="18:19" ht="15">
      <c r="R92" s="181" t="s">
        <v>253</v>
      </c>
      <c r="S92" s="180" t="s">
        <v>237</v>
      </c>
    </row>
    <row r="93" spans="18:19" ht="15">
      <c r="R93" s="181" t="s">
        <v>252</v>
      </c>
      <c r="S93" s="180" t="s">
        <v>251</v>
      </c>
    </row>
    <row r="94" spans="18:19" ht="15">
      <c r="R94" s="181" t="s">
        <v>250</v>
      </c>
      <c r="S94" s="180" t="s">
        <v>249</v>
      </c>
    </row>
    <row r="95" spans="18:19" ht="15">
      <c r="R95" s="181" t="s">
        <v>248</v>
      </c>
      <c r="S95" s="180" t="s">
        <v>247</v>
      </c>
    </row>
    <row r="96" spans="18:19" ht="15">
      <c r="R96" s="181" t="s">
        <v>246</v>
      </c>
      <c r="S96" s="180" t="s">
        <v>245</v>
      </c>
    </row>
    <row r="97" spans="18:19" ht="15">
      <c r="R97" s="181" t="s">
        <v>244</v>
      </c>
      <c r="S97" s="180" t="s">
        <v>243</v>
      </c>
    </row>
    <row r="98" spans="18:19" ht="15">
      <c r="R98" s="181" t="s">
        <v>242</v>
      </c>
      <c r="S98" s="180" t="s">
        <v>241</v>
      </c>
    </row>
    <row r="99" spans="18:19" ht="15">
      <c r="R99" s="181" t="s">
        <v>240</v>
      </c>
      <c r="S99" s="180" t="s">
        <v>239</v>
      </c>
    </row>
    <row r="100" spans="18:19" ht="15">
      <c r="R100" s="181" t="s">
        <v>238</v>
      </c>
      <c r="S100" s="180" t="s">
        <v>237</v>
      </c>
    </row>
    <row r="101" spans="18:19" ht="15">
      <c r="R101" s="181" t="s">
        <v>236</v>
      </c>
      <c r="S101" s="180" t="s">
        <v>235</v>
      </c>
    </row>
  </sheetData>
  <mergeCells count="77">
    <mergeCell ref="L43:N43"/>
    <mergeCell ref="B45:P46"/>
    <mergeCell ref="L49:P50"/>
    <mergeCell ref="L51:P51"/>
    <mergeCell ref="B39:F39"/>
    <mergeCell ref="H39:P39"/>
    <mergeCell ref="B40:F40"/>
    <mergeCell ref="H40:P40"/>
    <mergeCell ref="B41:P41"/>
    <mergeCell ref="L42:N42"/>
    <mergeCell ref="B36:F36"/>
    <mergeCell ref="H36:P36"/>
    <mergeCell ref="B37:F37"/>
    <mergeCell ref="H37:P37"/>
    <mergeCell ref="B38:F38"/>
    <mergeCell ref="H38:P38"/>
    <mergeCell ref="B33:F33"/>
    <mergeCell ref="H33:P33"/>
    <mergeCell ref="B34:F34"/>
    <mergeCell ref="H34:P34"/>
    <mergeCell ref="B35:F35"/>
    <mergeCell ref="H35:P35"/>
    <mergeCell ref="B27:P27"/>
    <mergeCell ref="B28:P31"/>
    <mergeCell ref="B32:G32"/>
    <mergeCell ref="H32:P32"/>
    <mergeCell ref="G25:P25"/>
    <mergeCell ref="B24:E24"/>
    <mergeCell ref="G24:P24"/>
    <mergeCell ref="B25:E25"/>
    <mergeCell ref="B26:E26"/>
    <mergeCell ref="G26:P26"/>
    <mergeCell ref="B21:E21"/>
    <mergeCell ref="G21:P21"/>
    <mergeCell ref="B22:E22"/>
    <mergeCell ref="G22:P22"/>
    <mergeCell ref="B23:E23"/>
    <mergeCell ref="B18:H18"/>
    <mergeCell ref="I18:P18"/>
    <mergeCell ref="B19:E19"/>
    <mergeCell ref="G19:P19"/>
    <mergeCell ref="B20:E20"/>
    <mergeCell ref="G20:P20"/>
    <mergeCell ref="B15:H15"/>
    <mergeCell ref="I15:P15"/>
    <mergeCell ref="B16:H16"/>
    <mergeCell ref="I16:P16"/>
    <mergeCell ref="B17:H17"/>
    <mergeCell ref="I17:P17"/>
    <mergeCell ref="B13:H13"/>
    <mergeCell ref="I13:P13"/>
    <mergeCell ref="B14:C14"/>
    <mergeCell ref="D14:H14"/>
    <mergeCell ref="I14:P14"/>
    <mergeCell ref="B10:P10"/>
    <mergeCell ref="B11:H11"/>
    <mergeCell ref="I11:P11"/>
    <mergeCell ref="B12:H12"/>
    <mergeCell ref="I12:P12"/>
    <mergeCell ref="B7:H7"/>
    <mergeCell ref="I7:P7"/>
    <mergeCell ref="B8:H8"/>
    <mergeCell ref="I8:P8"/>
    <mergeCell ref="B9:H9"/>
    <mergeCell ref="I9:P9"/>
    <mergeCell ref="B4:P4"/>
    <mergeCell ref="B5:H5"/>
    <mergeCell ref="I5:P5"/>
    <mergeCell ref="B6:H6"/>
    <mergeCell ref="I6:P6"/>
    <mergeCell ref="B1:P1"/>
    <mergeCell ref="B2:C2"/>
    <mergeCell ref="D2:J2"/>
    <mergeCell ref="L2:P2"/>
    <mergeCell ref="B3:C3"/>
    <mergeCell ref="D3:J3"/>
    <mergeCell ref="L3:P3"/>
  </mergeCells>
  <printOptions verticalCentered="1"/>
  <pageMargins left="0.31496062992125984" right="0.31496062992125984" top="3.937007874015748E-2" bottom="0.23622047244094491" header="0.23622047244094491" footer="0.23622047244094491"/>
  <pageSetup paperSize="9" scale="75" orientation="portrait" r:id="rId1"/>
  <headerFooter alignWithMargins="0"/>
  <colBreaks count="1" manualBreakCount="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9"/>
  <sheetViews>
    <sheetView workbookViewId="0">
      <selection sqref="A1:D1"/>
    </sheetView>
  </sheetViews>
  <sheetFormatPr defaultRowHeight="12.75"/>
  <cols>
    <col min="1" max="1" width="25.7109375" customWidth="1"/>
    <col min="2" max="2" width="19.28515625" customWidth="1"/>
    <col min="3" max="3" width="18" customWidth="1"/>
    <col min="4" max="4" width="25.28515625" customWidth="1"/>
  </cols>
  <sheetData>
    <row r="1" spans="1:7" ht="15.75">
      <c r="A1" s="566" t="s">
        <v>210</v>
      </c>
      <c r="B1" s="566"/>
      <c r="C1" s="566"/>
      <c r="D1" s="566"/>
    </row>
    <row r="2" spans="1:7" ht="15.75">
      <c r="A2" s="149"/>
    </row>
    <row r="3" spans="1:7" ht="15.75" customHeight="1">
      <c r="A3" s="567" t="s">
        <v>211</v>
      </c>
      <c r="B3" s="567"/>
      <c r="C3" s="567"/>
      <c r="D3" s="567"/>
    </row>
    <row r="4" spans="1:7" ht="15.75">
      <c r="A4" s="568" t="s">
        <v>212</v>
      </c>
      <c r="B4" s="568"/>
      <c r="C4" s="568"/>
      <c r="D4" s="568"/>
      <c r="E4" s="150"/>
      <c r="F4" s="150"/>
      <c r="G4" s="150"/>
    </row>
    <row r="5" spans="1:7" ht="15.75" customHeight="1">
      <c r="A5" s="569" t="s">
        <v>213</v>
      </c>
      <c r="B5" s="569"/>
      <c r="C5" s="569"/>
      <c r="D5" s="569"/>
      <c r="E5" s="150"/>
      <c r="F5" s="150"/>
      <c r="G5" s="150"/>
    </row>
    <row r="6" spans="1:7" ht="15.75">
      <c r="A6" s="568" t="s">
        <v>214</v>
      </c>
      <c r="B6" s="568"/>
      <c r="C6" s="568"/>
      <c r="D6" s="568"/>
      <c r="E6" s="568"/>
      <c r="F6" s="568"/>
      <c r="G6" s="568"/>
    </row>
    <row r="7" spans="1:7" ht="15.75">
      <c r="A7" s="568" t="s">
        <v>215</v>
      </c>
      <c r="B7" s="568"/>
      <c r="C7" s="568"/>
      <c r="D7" s="568"/>
      <c r="E7" s="568"/>
      <c r="F7" s="568"/>
      <c r="G7" s="568"/>
    </row>
    <row r="8" spans="1:7" ht="15.75">
      <c r="A8" s="568" t="s">
        <v>216</v>
      </c>
      <c r="B8" s="568"/>
      <c r="C8" s="568"/>
      <c r="D8" s="568"/>
      <c r="E8" s="568"/>
      <c r="F8" s="568"/>
      <c r="G8" s="568"/>
    </row>
    <row r="9" spans="1:7" ht="16.5" thickBot="1">
      <c r="A9" s="151"/>
    </row>
    <row r="10" spans="1:7" ht="32.25" thickBot="1">
      <c r="A10" s="152" t="s">
        <v>217</v>
      </c>
      <c r="B10" s="153" t="s">
        <v>226</v>
      </c>
      <c r="C10" s="153" t="s">
        <v>218</v>
      </c>
      <c r="D10" s="153"/>
    </row>
    <row r="11" spans="1:7" ht="16.5" thickBot="1">
      <c r="A11" s="154" t="s">
        <v>219</v>
      </c>
      <c r="B11" s="155" t="s">
        <v>220</v>
      </c>
      <c r="C11" s="155" t="s">
        <v>221</v>
      </c>
      <c r="D11" s="155"/>
    </row>
    <row r="12" spans="1:7" ht="32.25" thickBot="1">
      <c r="A12" s="154"/>
      <c r="B12" s="155"/>
      <c r="C12" s="155" t="s">
        <v>222</v>
      </c>
      <c r="D12" s="156"/>
    </row>
    <row r="13" spans="1:7" ht="15.75">
      <c r="A13" s="151"/>
    </row>
    <row r="14" spans="1:7" ht="15.75" customHeight="1">
      <c r="A14" s="567" t="s">
        <v>223</v>
      </c>
      <c r="B14" s="567"/>
      <c r="C14" s="567"/>
      <c r="D14" s="567"/>
    </row>
    <row r="15" spans="1:7" ht="15.75">
      <c r="A15" s="568" t="s">
        <v>224</v>
      </c>
      <c r="B15" s="568"/>
      <c r="C15" s="568"/>
      <c r="D15" s="568"/>
    </row>
    <row r="16" spans="1:7" ht="15.75">
      <c r="A16" s="151"/>
    </row>
    <row r="17" spans="1:4" ht="15.75">
      <c r="A17" s="151"/>
    </row>
    <row r="18" spans="1:4" ht="15.75" customHeight="1">
      <c r="A18" s="567" t="s">
        <v>395</v>
      </c>
      <c r="B18" s="567"/>
      <c r="C18" s="570" t="s">
        <v>225</v>
      </c>
      <c r="D18" s="570"/>
    </row>
    <row r="39" spans="2:2">
      <c r="B39" t="s">
        <v>231</v>
      </c>
    </row>
  </sheetData>
  <mergeCells count="11">
    <mergeCell ref="A7:G7"/>
    <mergeCell ref="A8:G8"/>
    <mergeCell ref="A14:D14"/>
    <mergeCell ref="A15:D15"/>
    <mergeCell ref="A18:B18"/>
    <mergeCell ref="C18:D18"/>
    <mergeCell ref="A1:D1"/>
    <mergeCell ref="A3:D3"/>
    <mergeCell ref="A4:D4"/>
    <mergeCell ref="A5:D5"/>
    <mergeCell ref="A6:G6"/>
  </mergeCells>
  <pageMargins left="0.70866141732283472" right="0.70866141732283472" top="1.3385826771653544"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EXPORT INVOICE</vt:lpstr>
      <vt:lpstr>PACKING LIST</vt:lpstr>
      <vt:lpstr>ANNE 1</vt:lpstr>
      <vt:lpstr>ANNEXURE A</vt:lpstr>
      <vt:lpstr>SDF</vt:lpstr>
      <vt:lpstr>SLI NEW</vt:lpstr>
      <vt:lpstr>Sheet5</vt:lpstr>
      <vt:lpstr>'ANNE 1'!Print_Area</vt:lpstr>
      <vt:lpstr>'EXPORT INVOICE'!Print_Area</vt:lpstr>
      <vt:lpstr>'PACKING LIST'!Print_Area</vt:lpstr>
      <vt:lpstr>'SLI NEW'!Print_Area</vt:lpstr>
    </vt:vector>
  </TitlesOfParts>
  <Company>DHL WORLD WIDE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Mirza Baig</dc:creator>
  <cp:lastModifiedBy>vashist patodia</cp:lastModifiedBy>
  <cp:lastPrinted>2023-10-04T14:50:18Z</cp:lastPrinted>
  <dcterms:created xsi:type="dcterms:W3CDTF">2004-08-10T13:49:59Z</dcterms:created>
  <dcterms:modified xsi:type="dcterms:W3CDTF">2023-11-07T08:47:04Z</dcterms:modified>
</cp:coreProperties>
</file>